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  <sheet xmlns:r="http://schemas.openxmlformats.org/officeDocument/2006/relationships" name="Packing list" sheetId="2" state="visible" r:id="rId2"/>
    <sheet xmlns:r="http://schemas.openxmlformats.org/officeDocument/2006/relationships" name="DeepSheet" sheetId="3" state="veryHidden" r:id="rId3"/>
  </sheets>
  <definedNames>
    <definedName name="_xlnm.Print_Area" localSheetId="0">'Invoice'!$A$1:$H$47</definedName>
    <definedName name="_xlnm.Print_Area" localSheetId="1">'Packing list'!$A$1:$J$54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dd\-mmm\-yyyy"/>
  </numFmts>
  <fonts count="10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sz val="12"/>
    </font>
    <font>
      <name val="Times New Roman"/>
      <b val="1"/>
      <sz val="20"/>
    </font>
    <font>
      <name val="Times New Roman"/>
      <sz val="11"/>
    </font>
    <font>
      <name val="Times New Roman"/>
      <b val="1"/>
      <sz val="24"/>
    </font>
    <font>
      <name val="Times New Roman"/>
      <b val="1"/>
      <sz val="11"/>
    </font>
    <font>
      <name val="Times New Roman"/>
      <b val="1"/>
      <sz val="14"/>
    </font>
    <font>
      <b val="1"/>
    </font>
    <font>
      <b val="1"/>
      <sz val="12"/>
    </font>
  </fonts>
  <fills count="2">
    <fill>
      <patternFill/>
    </fill>
    <fill>
      <patternFill patternType="gray125"/>
    </fill>
  </fills>
  <borders count="1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 style="thin"/>
    </border>
    <border>
      <left style="thin"/>
      <right style="thin"/>
      <bottom style="thin"/>
    </border>
    <border>
      <bottom style="medium"/>
    </border>
    <border>
      <left/>
      <right/>
      <top/>
      <bottom style="medium"/>
      <diagonal/>
    </border>
    <border>
      <top style="medium"/>
    </border>
    <border>
      <left/>
      <right/>
      <top style="medium"/>
      <bottom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top"/>
    </xf>
    <xf numFmtId="0" fontId="4" fillId="0" borderId="7" applyAlignment="1" pivotButton="0" quotePrefix="0" xfId="0">
      <alignment horizontal="center" vertical="center"/>
    </xf>
    <xf numFmtId="0" fontId="0" fillId="0" borderId="8" pivotButton="0" quotePrefix="0" xfId="0"/>
    <xf numFmtId="0" fontId="5" fillId="0" borderId="9" applyAlignment="1" pivotButton="0" quotePrefix="0" xfId="0">
      <alignment horizontal="center" vertical="center"/>
    </xf>
    <xf numFmtId="0" fontId="0" fillId="0" borderId="10" pivotButton="0" quotePrefix="0" xfId="0"/>
    <xf numFmtId="0" fontId="2" fillId="0" borderId="0" pivotButton="0" quotePrefix="0" xfId="0"/>
    <xf numFmtId="0" fontId="6" fillId="0" borderId="0" applyAlignment="1" pivotButton="0" quotePrefix="0" xfId="0">
      <alignment horizontal="right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166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right"/>
    </xf>
    <xf numFmtId="0" fontId="7" fillId="0" borderId="0" pivotButton="0" quotePrefix="0" xfId="0"/>
    <xf numFmtId="0" fontId="2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right"/>
    </xf>
    <xf numFmtId="0" fontId="4" fillId="0" borderId="0" pivotButton="0" quotePrefix="0" xfId="0"/>
    <xf numFmtId="49" fontId="1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4" fontId="1" fillId="0" borderId="1" applyAlignment="1" pivotButton="0" quotePrefix="0" xfId="0">
      <alignment horizontal="center" vertical="center" wrapText="1"/>
    </xf>
    <xf numFmtId="49" fontId="1" fillId="0" borderId="1" applyAlignment="1" pivotButton="0" quotePrefix="0" xfId="0">
      <alignment horizontal="center" vertical="center"/>
    </xf>
    <xf numFmtId="49" fontId="2" fillId="0" borderId="5" applyAlignment="1" pivotButton="0" quotePrefix="0" xfId="0">
      <alignment horizontal="center" vertical="center" wrapText="1"/>
    </xf>
    <xf numFmtId="49" fontId="2" fillId="0" borderId="1" applyAlignment="1" pivotButton="0" quotePrefix="0" xfId="0">
      <alignment horizontal="center" vertical="center" wrapText="1"/>
    </xf>
    <xf numFmtId="49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center" vertical="center" wrapText="1"/>
    </xf>
    <xf numFmtId="49" fontId="1" fillId="0" borderId="5" applyAlignment="1" pivotButton="0" quotePrefix="0" xfId="0">
      <alignment horizontal="center" vertical="center" wrapText="1"/>
    </xf>
    <xf numFmtId="49" fontId="1" fillId="0" borderId="6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vertical="top"/>
    </xf>
    <xf numFmtId="0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/>
    </xf>
    <xf numFmtId="0" fontId="2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right"/>
    </xf>
    <xf numFmtId="3" fontId="1" fillId="0" borderId="1" applyAlignment="1" pivotButton="0" quotePrefix="0" xfId="0">
      <alignment horizontal="center" vertical="center"/>
    </xf>
    <xf numFmtId="4" fontId="1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center" vertic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7"/>
  <sheetViews>
    <sheetView showGridLines="1" showRowColHeaders="1" view="pageBreakPreview" workbookViewId="0">
      <selection activeCell="A1" sqref="A1"/>
    </sheetView>
  </sheetViews>
  <sheetFormatPr baseColWidth="8" defaultRowHeight="15"/>
  <cols>
    <col width="24.14" customWidth="1" min="1" max="1"/>
    <col width="24.43" customWidth="1" min="2" max="2"/>
    <col width="50.57" customWidth="1" min="3" max="3"/>
    <col width="22.14" customWidth="1" min="4" max="4"/>
    <col width="18" customWidth="1" min="5" max="5"/>
    <col width="13.86" customWidth="1" min="6" max="6"/>
    <col width="16.14" customWidth="1" min="7" max="7"/>
    <col width="18.14" customWidth="1" min="8" max="8"/>
  </cols>
  <sheetData>
    <row r="1" ht="38.25" customHeight="1">
      <c r="A1" s="1" t="inlineStr">
        <is>
          <t>CALIFOR UPHOLSTERY MATERIALS CO., LTD.</t>
        </is>
      </c>
    </row>
    <row r="2" ht="24" customHeight="1">
      <c r="A2" s="2" t="inlineStr">
        <is>
          <t>XIN BAVET SEZ, Road No. 316A, Trapeang Bon and  Prey Kokir  Villages, Prey Kokir  Commune, Chantrea District,</t>
        </is>
      </c>
    </row>
    <row r="3" ht="17.25" customHeight="1">
      <c r="A3" s="3" t="inlineStr">
        <is>
          <t>Svay Rieng Province, Kingdom of Cambodia.</t>
        </is>
      </c>
    </row>
    <row r="4" ht="17.25" customHeight="1">
      <c r="A4" s="3" t="inlineStr">
        <is>
          <t>VAT:L001-901903209</t>
        </is>
      </c>
    </row>
    <row r="5" ht="25.5" customHeight="1">
      <c r="A5" s="4" t="inlineStr">
        <is>
          <t>Tel: +855   975910636</t>
        </is>
      </c>
      <c r="B5" s="5" t="n"/>
      <c r="C5" s="5" t="n"/>
      <c r="D5" s="5" t="n"/>
      <c r="E5" s="5" t="n"/>
      <c r="F5" s="5" t="n"/>
      <c r="G5" s="5" t="n"/>
      <c r="H5" s="5" t="n"/>
    </row>
    <row r="6" ht="83.25" customHeight="1">
      <c r="A6" s="6" t="inlineStr">
        <is>
          <t>INVOICE</t>
        </is>
      </c>
      <c r="B6" s="7" t="n"/>
      <c r="C6" s="7" t="n"/>
      <c r="D6" s="7" t="n"/>
      <c r="E6" s="7" t="n"/>
      <c r="F6" s="7" t="n"/>
      <c r="G6" s="7" t="n"/>
      <c r="H6" s="7" t="n"/>
    </row>
    <row r="7" ht="16.5" customHeight="1">
      <c r="G7" s="8" t="inlineStr">
        <is>
          <t>Ref No.:</t>
        </is>
      </c>
      <c r="H7" s="8">
        <f>'Packing list'!J7</f>
        <v/>
      </c>
    </row>
    <row r="8" ht="30" customHeight="1">
      <c r="A8" s="9" t="inlineStr">
        <is>
          <t>EXPORTER:</t>
        </is>
      </c>
      <c r="B8" s="10" t="inlineStr">
        <is>
          <t>CALIFOR UPHOLSTERY MATERIALS CO., LTD.</t>
        </is>
      </c>
      <c r="G8" s="11" t="inlineStr">
        <is>
          <t>INVOICE NO :</t>
        </is>
      </c>
      <c r="H8" s="11">
        <f>'Packing list'!J8</f>
        <v/>
      </c>
    </row>
    <row r="9" ht="21" customHeight="1">
      <c r="B9" s="8" t="inlineStr">
        <is>
          <t>XIN BAVET SEZ, Road No. 316A, Trapeang Bon and Prey Kokir Villages,</t>
        </is>
      </c>
      <c r="G9" s="11" t="inlineStr">
        <is>
          <t>Date:</t>
        </is>
      </c>
      <c r="H9" s="12">
        <f>'Packing list'!J9</f>
        <v/>
      </c>
    </row>
    <row r="10" ht="22.5" customHeight="1">
      <c r="B10" s="8" t="inlineStr">
        <is>
          <t>Prey Kokir Commune, Chantrea District,Svay Rieng Province, Kingdom of Cambodia .</t>
        </is>
      </c>
      <c r="G10" s="13" t="inlineStr">
        <is>
          <t>DAF:</t>
        </is>
      </c>
      <c r="H10" s="11" t="inlineStr">
        <is>
          <t>BAVET</t>
        </is>
      </c>
    </row>
    <row r="11" ht="20.25" customHeight="1">
      <c r="B11" s="8" t="inlineStr">
        <is>
          <t>Tel: +855   975910636</t>
        </is>
      </c>
      <c r="G11" s="14" t="inlineStr">
        <is>
          <t>ETD：</t>
        </is>
      </c>
      <c r="H11" s="12">
        <f>H9</f>
        <v/>
      </c>
    </row>
    <row r="12" ht="18.95" customHeight="1">
      <c r="G12" s="14" t="inlineStr">
        <is>
          <t>ETA:</t>
        </is>
      </c>
      <c r="H12" s="12">
        <f>H11+1</f>
        <v/>
      </c>
    </row>
    <row r="13" ht="25.5" customHeight="1">
      <c r="A13" s="15" t="inlineStr">
        <is>
          <t>CONSIGNEE :</t>
        </is>
      </c>
      <c r="B13" s="16" t="inlineStr">
        <is>
          <t>Wanek Furniture Co., LTD.</t>
        </is>
      </c>
    </row>
    <row r="14" ht="25.5" customHeight="1">
      <c r="B14" s="17" t="inlineStr">
        <is>
          <t>Lot D_5A_CN, D_5C_CN, D_5E_CN, My Phuoc 3 Industrial Park, Thoi Hoa Ward, Ho Chi Minh City, Vietnam.</t>
        </is>
      </c>
    </row>
    <row r="15" ht="25.5" customHeight="1">
      <c r="B15" s="18" t="inlineStr">
        <is>
          <t>P+84 650 3655 200 EXT:7074 MS EMILY(C&amp;L)/MS DOROTHY(CR) EXT:7036 MS JANE (PURCHASING)</t>
        </is>
      </c>
    </row>
    <row r="16" ht="27.75" customHeight="1">
      <c r="A16" s="19" t="inlineStr">
        <is>
          <t xml:space="preserve">SHIP: </t>
        </is>
      </c>
      <c r="B16" s="20" t="inlineStr">
        <is>
          <t>BY TRUCK FROM BAVET, SVAY RIENG, CAMBODIA TO HO CHI MINH, VIETNAM.</t>
        </is>
      </c>
    </row>
    <row r="17" ht="27.75" customHeight="1"/>
    <row r="18" ht="42" customHeight="1">
      <c r="A18" s="21" t="inlineStr">
        <is>
          <t>Mark &amp; Nº</t>
        </is>
      </c>
      <c r="B18" s="21" t="inlineStr">
        <is>
          <t>P.O. Nº</t>
        </is>
      </c>
      <c r="C18" s="21" t="inlineStr">
        <is>
          <t>Description</t>
        </is>
      </c>
      <c r="D18" s="22" t="n"/>
      <c r="E18" s="21" t="inlineStr">
        <is>
          <t>ITEM Nº</t>
        </is>
      </c>
      <c r="F18" s="23" t="inlineStr">
        <is>
          <t>Quantity
(SF)</t>
        </is>
      </c>
      <c r="G18" s="23" t="inlineStr">
        <is>
          <t>Unit price
(USD)</t>
        </is>
      </c>
      <c r="H18" s="23" t="inlineStr">
        <is>
          <t>Amount
(USD)</t>
        </is>
      </c>
    </row>
    <row r="19" ht="42" customHeight="1">
      <c r="C19" s="24" t="inlineStr">
        <is>
          <t>L LEESWORTH BUFFALO DARK BROWN        L LEESWORTH BUFFALO OCEAN U43809</t>
        </is>
      </c>
      <c r="D19" s="24" t="inlineStr">
        <is>
          <t>BUFFALO LEATHER</t>
        </is>
      </c>
    </row>
    <row r="20" ht="42" customHeight="1">
      <c r="A20" s="25" t="inlineStr">
        <is>
          <t>VENDOR#:</t>
        </is>
      </c>
      <c r="B20" s="26" t="n">
        <v>9000994916</v>
      </c>
      <c r="C20" s="27" t="n"/>
      <c r="D20" s="27" t="n"/>
      <c r="E20" s="26" t="inlineStr">
        <is>
          <t>01.10.U756061</t>
        </is>
      </c>
      <c r="F20" s="28" t="n">
        <v>38914.4</v>
      </c>
      <c r="G20" s="28" t="n">
        <v>1.16</v>
      </c>
      <c r="H20" s="28">
        <f>F20 * G20</f>
        <v/>
      </c>
    </row>
    <row r="21" ht="42" customHeight="1">
      <c r="A21" s="25" t="inlineStr">
        <is>
          <t>CASE QTY:</t>
        </is>
      </c>
      <c r="B21" s="26" t="n">
        <v>9000994916</v>
      </c>
      <c r="C21" s="27" t="n"/>
      <c r="D21" s="27" t="n"/>
      <c r="E21" s="26" t="inlineStr">
        <is>
          <t>01.10.U756061</t>
        </is>
      </c>
      <c r="F21" s="28" t="n">
        <v>219.4</v>
      </c>
      <c r="G21" s="28" t="n">
        <v>0.99</v>
      </c>
      <c r="H21" s="28">
        <f>F21 * G21</f>
        <v/>
      </c>
    </row>
    <row r="22" ht="42" customHeight="1">
      <c r="A22" s="25" t="inlineStr">
        <is>
          <t>MADE IN CAMBODIA</t>
        </is>
      </c>
      <c r="B22" s="26" t="n">
        <v>9000994916</v>
      </c>
      <c r="C22" s="27" t="n"/>
      <c r="D22" s="27" t="n"/>
      <c r="E22" s="26" t="inlineStr">
        <is>
          <t>01.10.U756061</t>
        </is>
      </c>
      <c r="F22" s="28" t="n">
        <v>1083</v>
      </c>
      <c r="G22" s="28" t="n">
        <v>1.04</v>
      </c>
      <c r="H22" s="28">
        <f>F22 * G22</f>
        <v/>
      </c>
    </row>
    <row r="23" ht="42" customHeight="1">
      <c r="A23" s="25" t="n"/>
      <c r="B23" s="26" t="n">
        <v>9001011311</v>
      </c>
      <c r="C23" s="27" t="n"/>
      <c r="D23" s="27" t="n"/>
      <c r="E23" s="26" t="inlineStr">
        <is>
          <t>01.10.U756051</t>
        </is>
      </c>
      <c r="F23" s="28" t="n">
        <v>5095.7</v>
      </c>
      <c r="G23" s="28" t="n">
        <v>1.16</v>
      </c>
      <c r="H23" s="28">
        <f>F23 * G23</f>
        <v/>
      </c>
    </row>
    <row r="24" ht="42" customHeight="1">
      <c r="A24" s="25" t="n"/>
      <c r="B24" s="26" t="n">
        <v>9001011311</v>
      </c>
      <c r="C24" s="27" t="n"/>
      <c r="D24" s="27" t="n"/>
      <c r="E24" s="26" t="inlineStr">
        <is>
          <t>01.10.U756051</t>
        </is>
      </c>
      <c r="F24" s="28" t="n">
        <v>40.5</v>
      </c>
      <c r="G24" s="28" t="n">
        <v>1.04</v>
      </c>
      <c r="H24" s="28">
        <f>F24 * G24</f>
        <v/>
      </c>
    </row>
    <row r="25" ht="42" customHeight="1">
      <c r="A25" s="25" t="n"/>
      <c r="B25" s="26" t="n">
        <v>9000896339</v>
      </c>
      <c r="C25" s="27" t="n"/>
      <c r="D25" s="27" t="n"/>
      <c r="E25" s="26" t="inlineStr">
        <is>
          <t>01.10.O6508</t>
        </is>
      </c>
      <c r="F25" s="28" t="n">
        <v>3674.7</v>
      </c>
      <c r="G25" s="28" t="n">
        <v>1.03</v>
      </c>
      <c r="H25" s="28">
        <f>F25 * G25</f>
        <v/>
      </c>
    </row>
    <row r="26" ht="42" customHeight="1">
      <c r="A26" s="25" t="n"/>
      <c r="B26" s="26" t="n">
        <v>9000896339</v>
      </c>
      <c r="C26" s="27" t="n"/>
      <c r="D26" s="27" t="n"/>
      <c r="E26" s="26" t="inlineStr">
        <is>
          <t>01.10.O6508</t>
        </is>
      </c>
      <c r="F26" s="28" t="n">
        <v>1077.3</v>
      </c>
      <c r="G26" s="28" t="n">
        <v>0.93</v>
      </c>
      <c r="H26" s="28">
        <f>F26 * G26</f>
        <v/>
      </c>
    </row>
    <row r="27" ht="42" customHeight="1">
      <c r="A27" s="25" t="n"/>
      <c r="B27" s="26" t="n">
        <v>9000999234</v>
      </c>
      <c r="C27" s="27" t="n"/>
      <c r="D27" s="27" t="n"/>
      <c r="E27" s="26" t="inlineStr">
        <is>
          <t>01.10.U528062-K</t>
        </is>
      </c>
      <c r="F27" s="28" t="n">
        <v>8876.6</v>
      </c>
      <c r="G27" s="28" t="n">
        <v>0.95</v>
      </c>
      <c r="H27" s="28">
        <f>F27 * G27</f>
        <v/>
      </c>
    </row>
    <row r="28" ht="42" customHeight="1">
      <c r="A28" s="25" t="n"/>
      <c r="B28" s="26" t="n">
        <v>9000999234</v>
      </c>
      <c r="C28" s="27" t="n"/>
      <c r="D28" s="27" t="n"/>
      <c r="E28" s="26" t="inlineStr">
        <is>
          <t>01.10.U528062-K</t>
        </is>
      </c>
      <c r="F28" s="28" t="n">
        <v>239.7</v>
      </c>
      <c r="G28" s="28" t="n">
        <v>0.86</v>
      </c>
      <c r="H28" s="28">
        <f>F28 * G28</f>
        <v/>
      </c>
    </row>
    <row r="29" ht="42" customHeight="1">
      <c r="A29" s="25" t="n"/>
      <c r="B29" s="26" t="n">
        <v>9000997236</v>
      </c>
      <c r="C29" s="27" t="n"/>
      <c r="D29" s="27" t="n"/>
      <c r="E29" s="26" t="inlineStr">
        <is>
          <t>01.10.U562032-K</t>
        </is>
      </c>
      <c r="F29" s="28" t="n">
        <v>4772</v>
      </c>
      <c r="G29" s="28" t="n">
        <v>1.41</v>
      </c>
      <c r="H29" s="28">
        <f>F29 * G29</f>
        <v/>
      </c>
    </row>
    <row r="30" ht="42" customHeight="1">
      <c r="A30" s="25" t="n"/>
      <c r="B30" s="26" t="n">
        <v>9000997236</v>
      </c>
      <c r="C30" s="27" t="n"/>
      <c r="D30" s="27" t="n"/>
      <c r="E30" s="26" t="inlineStr">
        <is>
          <t>01.10.U562032-K</t>
        </is>
      </c>
      <c r="F30" s="28" t="n">
        <v>237.2</v>
      </c>
      <c r="G30" s="28" t="n">
        <v>1.27</v>
      </c>
      <c r="H30" s="28">
        <f>F30 * G30</f>
        <v/>
      </c>
    </row>
    <row r="31" ht="42" customHeight="1">
      <c r="A31" s="25" t="n"/>
      <c r="B31" s="26" t="n">
        <v>9000997236</v>
      </c>
      <c r="C31" s="27" t="n"/>
      <c r="D31" s="27" t="n"/>
      <c r="E31" s="26" t="inlineStr">
        <is>
          <t>01.10.U562032-K</t>
        </is>
      </c>
      <c r="F31" s="28" t="n">
        <v>118.4</v>
      </c>
      <c r="G31" s="28" t="n">
        <v>1.2</v>
      </c>
      <c r="H31" s="28">
        <f>F31 * G31</f>
        <v/>
      </c>
    </row>
    <row r="32" ht="42" customHeight="1">
      <c r="A32" s="25" t="n"/>
      <c r="B32" s="26" t="n">
        <v>9001013706</v>
      </c>
      <c r="C32" s="27" t="n"/>
      <c r="D32" s="27" t="n"/>
      <c r="E32" s="26" t="inlineStr">
        <is>
          <t>01.10.U741023</t>
        </is>
      </c>
      <c r="F32" s="28" t="n">
        <v>2481.4</v>
      </c>
      <c r="G32" s="28" t="n">
        <v>1.32</v>
      </c>
      <c r="H32" s="28">
        <f>F32 * G32</f>
        <v/>
      </c>
    </row>
    <row r="33" ht="42" customHeight="1">
      <c r="A33" s="25" t="n"/>
      <c r="B33" s="26" t="n">
        <v>9000988644</v>
      </c>
      <c r="C33" s="27" t="n"/>
      <c r="D33" s="27" t="n"/>
      <c r="E33" s="26" t="inlineStr">
        <is>
          <t>01.10.L2931</t>
        </is>
      </c>
      <c r="F33" s="28" t="n">
        <v>8660</v>
      </c>
      <c r="G33" s="28" t="n">
        <v>1.21</v>
      </c>
      <c r="H33" s="28">
        <f>F33 * G33</f>
        <v/>
      </c>
    </row>
    <row r="34" ht="42" customHeight="1">
      <c r="A34" s="25" t="n"/>
      <c r="B34" s="26" t="n">
        <v>9000988644</v>
      </c>
      <c r="C34" s="27" t="n"/>
      <c r="D34" s="27" t="n"/>
      <c r="E34" s="26" t="inlineStr">
        <is>
          <t>01.10.L2931</t>
        </is>
      </c>
      <c r="F34" s="28" t="n">
        <v>406.7</v>
      </c>
      <c r="G34" s="28" t="n">
        <v>1.09</v>
      </c>
      <c r="H34" s="28">
        <f>F34 * G34</f>
        <v/>
      </c>
    </row>
    <row r="35" ht="42" customHeight="1">
      <c r="A35" s="29" t="n"/>
      <c r="B35" s="21" t="inlineStr">
        <is>
          <t xml:space="preserve"> (HS.CODE: 4107.12.00)</t>
        </is>
      </c>
      <c r="C35" s="24" t="n"/>
      <c r="D35" s="24" t="n"/>
      <c r="E35" s="21" t="n"/>
      <c r="F35" s="23" t="n"/>
      <c r="G35" s="23" t="n"/>
      <c r="H35" s="23" t="n"/>
    </row>
    <row r="36" ht="42" customHeight="1">
      <c r="A36" s="30" t="n"/>
      <c r="B36" s="21" t="inlineStr">
        <is>
          <t>TOTAL OF:</t>
        </is>
      </c>
      <c r="C36" s="24" t="n"/>
      <c r="D36" s="24" t="n"/>
      <c r="E36" s="21" t="n"/>
      <c r="F36" s="23">
        <f>SUM(F20:F34)</f>
        <v/>
      </c>
      <c r="G36" s="23" t="n"/>
      <c r="H36" s="23">
        <f>SUM(H20:H34)</f>
        <v/>
      </c>
    </row>
    <row r="37" ht="24.75" customHeight="1"/>
    <row r="38" ht="42" customHeight="1">
      <c r="A38" s="31" t="inlineStr">
        <is>
          <t>Country of Original Cambodia</t>
        </is>
      </c>
    </row>
    <row r="39" ht="61.5" customHeight="1">
      <c r="A39" s="32" t="inlineStr">
        <is>
          <t>Manufacture:</t>
        </is>
      </c>
      <c r="B39" s="33" t="inlineStr">
        <is>
          <t>CALIFOR UPHOLSTERY MATERIALS CO., LTD.
XIN BAVET SEZ, Road No. 316A, Trapeang Bon and Prey Kokir Villages, Prey Kokir Commune, Chantrea District,Svay Rieng Province, Kingdom of Cambodia, Tel: +855   975910636</t>
        </is>
      </c>
    </row>
    <row r="40" ht="42" customHeight="1">
      <c r="A40" s="34" t="inlineStr">
        <is>
          <t>BENEFICIARY BANK：BANK OF CHINA(HONG KONG)LIMITED PHNOM PENH BRANCH
                                                  /BANK OF CHINA PHNOM PENH BRANCH</t>
        </is>
      </c>
    </row>
    <row r="41" ht="24.75" customHeight="1">
      <c r="A41" s="35" t="inlineStr">
        <is>
          <t>A/C NO:100001100764430</t>
        </is>
      </c>
    </row>
    <row r="42" ht="27" customHeight="1">
      <c r="A42" s="35" t="inlineStr">
        <is>
          <t>SWIFT CODE  ：BKCHKHPPXXX</t>
        </is>
      </c>
    </row>
    <row r="43" ht="42" customHeight="1">
      <c r="G43" s="36" t="inlineStr">
        <is>
          <t>CALIFOR UPHOLSTERY MATERIALS CO., LTD.</t>
        </is>
      </c>
    </row>
    <row r="44" ht="24.75" customHeight="1">
      <c r="G44" s="2" t="inlineStr">
        <is>
          <t>Sign &amp; Stamp</t>
        </is>
      </c>
    </row>
    <row r="45" ht="27" customHeight="1"/>
    <row r="46" ht="21" customHeight="1"/>
    <row r="47" ht="39" customHeight="1">
      <c r="G47" s="37" t="inlineStr">
        <is>
          <t>ZENG XUELI</t>
        </is>
      </c>
    </row>
    <row r="48" ht="39" customHeight="1"/>
    <row r="49" ht="39" customHeight="1"/>
    <row r="50" ht="21" customHeight="1"/>
    <row r="51" ht="21" customHeight="1"/>
    <row r="52" ht="21" customHeight="1"/>
    <row r="53" ht="25.5" customHeight="1"/>
    <row r="54" ht="21" customHeight="1"/>
    <row r="55" ht="21" customHeight="1"/>
    <row r="56" ht="21" customHeight="1"/>
    <row r="57" ht="21" customHeight="1"/>
    <row r="58" ht="21" customHeight="1"/>
    <row r="59" ht="17.25" customHeight="1"/>
  </sheetData>
  <mergeCells count="13">
    <mergeCell ref="A4:H4"/>
    <mergeCell ref="A3:H3"/>
    <mergeCell ref="A5:H5"/>
    <mergeCell ref="A38:E38"/>
    <mergeCell ref="A2:H2"/>
    <mergeCell ref="A40:E40"/>
    <mergeCell ref="A42:H42"/>
    <mergeCell ref="B39:E39"/>
    <mergeCell ref="A41:H41"/>
    <mergeCell ref="A1:H1"/>
    <mergeCell ref="C18:D18"/>
    <mergeCell ref="B35:C35"/>
    <mergeCell ref="A6:H6"/>
  </mergeCells>
  <printOptions horizontalCentered="1" verticalCentered="0"/>
  <pageMargins left="0.1" right="0.1" top="0.75" bottom="0.75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54"/>
  <sheetViews>
    <sheetView showGridLines="1" showRowColHeaders="1" view="pageBreakPreview" workbookViewId="0">
      <selection activeCell="A1" sqref="A1"/>
    </sheetView>
  </sheetViews>
  <sheetFormatPr baseColWidth="8" defaultRowHeight="15"/>
  <cols>
    <col width="29.57" customWidth="1" min="1" max="1"/>
    <col width="16.14" customWidth="1" min="2" max="2"/>
    <col width="24" customWidth="1" min="3" max="3"/>
    <col width="17" customWidth="1" min="4" max="4"/>
    <col width="50.43" customWidth="1" min="5" max="5"/>
    <col width="13" customWidth="1" min="6" max="6"/>
    <col width="16" customWidth="1" min="7" max="7"/>
    <col width="13" customWidth="1" min="8" max="8"/>
    <col width="16.29" customWidth="1" min="9" max="9"/>
    <col width="18" customWidth="1" min="10" max="10"/>
  </cols>
  <sheetData>
    <row r="1" ht="38.25" customHeight="1">
      <c r="A1" s="1" t="inlineStr">
        <is>
          <t>CALIFOR UPHOLSTERY MATERIALS CO., LTD.</t>
        </is>
      </c>
    </row>
    <row r="2" ht="24" customHeight="1">
      <c r="A2" s="2" t="inlineStr">
        <is>
          <t xml:space="preserve"> XIN BAVET SEZ, Road No. 316A, Trapeang Bon and  Prey Kokir  Villages, Prey Kokir  Commune, Chantrea District, </t>
        </is>
      </c>
    </row>
    <row r="3" ht="25.5" customHeight="1">
      <c r="A3" s="3" t="inlineStr">
        <is>
          <t>Svay Rieng Province, Kingdom of Cambodia.</t>
        </is>
      </c>
    </row>
    <row r="4" ht="25.5" customHeight="1">
      <c r="A4" s="2" t="inlineStr">
        <is>
          <t>VAT:L001-901903209</t>
        </is>
      </c>
    </row>
    <row r="5" ht="25.5" customHeight="1">
      <c r="A5" s="4" t="inlineStr">
        <is>
          <t>Tel: +855   975910636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</row>
    <row r="6" ht="54" customHeight="1">
      <c r="A6" s="6" t="inlineStr">
        <is>
          <t>PACKING LIST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</row>
    <row r="7" ht="18" customHeight="1">
      <c r="I7" s="38" t="inlineStr">
        <is>
          <t>Ref No.:</t>
        </is>
      </c>
      <c r="J7" s="8" t="inlineStr">
        <is>
          <t>CLF2026-266</t>
        </is>
      </c>
    </row>
    <row r="8" ht="30" customHeight="1">
      <c r="A8" s="9" t="inlineStr">
        <is>
          <t>EXPORTER:</t>
        </is>
      </c>
      <c r="B8" s="14" t="inlineStr">
        <is>
          <t>CALIFOR UPHOLSTERY MATERIALS CO., LTD.</t>
        </is>
      </c>
      <c r="I8" s="13" t="inlineStr">
        <is>
          <t>INVOICE NO :</t>
        </is>
      </c>
      <c r="J8" s="13" t="inlineStr">
        <is>
          <t>CLW26029</t>
        </is>
      </c>
    </row>
    <row r="9" ht="21" customHeight="1">
      <c r="B9" s="39" t="inlineStr">
        <is>
          <t>XIN BAVET SEZ, Road No. 316A, Trapeang Bon and Prey Kokir Villages,</t>
        </is>
      </c>
      <c r="I9" s="13" t="inlineStr">
        <is>
          <t>Date:</t>
        </is>
      </c>
      <c r="J9" s="12" t="inlineStr">
        <is>
          <t>2026-07-23 00:00:00</t>
        </is>
      </c>
    </row>
    <row r="10" ht="22.5" customHeight="1">
      <c r="B10" s="39" t="inlineStr">
        <is>
          <t>Prey Kokir Commune, Chantrea District,Svay Rieng Province, Kingdom of Cambodia</t>
        </is>
      </c>
      <c r="I10" s="13">
        <f>Invoice!G10</f>
        <v/>
      </c>
      <c r="J10" s="13" t="inlineStr">
        <is>
          <t>BAVET</t>
        </is>
      </c>
    </row>
    <row r="11" ht="20.25" customHeight="1">
      <c r="B11" s="39" t="inlineStr">
        <is>
          <t>Tel: +855   975910636</t>
        </is>
      </c>
      <c r="I11" s="13" t="inlineStr">
        <is>
          <t>ETD：</t>
        </is>
      </c>
      <c r="J11" s="12">
        <f>J9</f>
        <v/>
      </c>
    </row>
    <row r="12" ht="20.1" customHeight="1">
      <c r="I12" s="13" t="inlineStr">
        <is>
          <t>ETA:</t>
        </is>
      </c>
      <c r="J12" s="12">
        <f>J11+1</f>
        <v/>
      </c>
    </row>
    <row r="13" ht="25.5" customHeight="1">
      <c r="A13" s="15" t="inlineStr">
        <is>
          <t>CONSIGNEE :</t>
        </is>
      </c>
      <c r="B13" s="40" t="inlineStr">
        <is>
          <t>Wanek Furniture Co., LTD</t>
        </is>
      </c>
    </row>
    <row r="14" ht="25.5" customHeight="1">
      <c r="B14" s="41" t="inlineStr">
        <is>
          <t>Lot D_5A_CN, D_5C_CN, D_5E_CN, My Phuoc 3 Industrial Park, Thoi Hoa Ward, Ho Chi Minh City, Vietnam.</t>
        </is>
      </c>
    </row>
    <row r="15" ht="17.25" customHeight="1">
      <c r="B15" s="38" t="inlineStr">
        <is>
          <t>P+84 650 3655 200 EXT:7074 MS EMILY(C&amp;L)/MS DOROTHY(CR) EXT:7036 MS JANE (PURCHASING)</t>
        </is>
      </c>
    </row>
    <row r="16" ht="27.75" customHeight="1">
      <c r="A16" s="42" t="inlineStr">
        <is>
          <t xml:space="preserve">SHIP: </t>
        </is>
      </c>
      <c r="B16" s="39" t="inlineStr">
        <is>
          <t>BY TRUCK FROM BAVET, SVAY RIENG, CAMBODIA TO HO CHI MINH, VIETNAM.</t>
        </is>
      </c>
    </row>
    <row r="17"/>
    <row r="18" ht="31.15" customHeight="1">
      <c r="A18" s="21" t="inlineStr">
        <is>
          <t>Mark &amp; Nº</t>
        </is>
      </c>
      <c r="B18" s="21" t="inlineStr">
        <is>
          <t>Pallet
NO.</t>
        </is>
      </c>
      <c r="C18" s="21" t="inlineStr">
        <is>
          <t>P.O Nº</t>
        </is>
      </c>
      <c r="D18" s="21" t="inlineStr">
        <is>
          <t>ITEM Nº</t>
        </is>
      </c>
      <c r="E18" s="21" t="inlineStr">
        <is>
          <t>Description</t>
        </is>
      </c>
      <c r="F18" s="24" t="inlineStr">
        <is>
          <t>Quantity</t>
        </is>
      </c>
      <c r="G18" s="22" t="n"/>
      <c r="H18" s="23" t="inlineStr">
        <is>
          <t>N.W
(kgs)</t>
        </is>
      </c>
      <c r="I18" s="23" t="inlineStr">
        <is>
          <t>G.W
(kgs)</t>
        </is>
      </c>
      <c r="J18" s="23" t="inlineStr">
        <is>
          <t>CBM</t>
        </is>
      </c>
    </row>
    <row r="19" ht="31.15" customHeight="1">
      <c r="A19" s="22" t="n"/>
      <c r="B19" s="22" t="n"/>
      <c r="C19" s="22" t="n"/>
      <c r="D19" s="22" t="n"/>
      <c r="E19" s="22" t="n"/>
      <c r="F19" s="43" t="inlineStr">
        <is>
          <t>PCS</t>
        </is>
      </c>
      <c r="G19" s="44" t="inlineStr">
        <is>
          <t>SF</t>
        </is>
      </c>
      <c r="H19" s="22" t="n"/>
      <c r="I19" s="22" t="n"/>
      <c r="J19" s="22" t="n"/>
    </row>
    <row r="20" ht="31.15" customHeight="1">
      <c r="A20" s="25" t="inlineStr">
        <is>
          <t>VENDOR#:</t>
        </is>
      </c>
      <c r="B20" s="26" t="inlineStr">
        <is>
          <t>1-13</t>
        </is>
      </c>
      <c r="C20" s="26" t="n">
        <v>9000994916</v>
      </c>
      <c r="D20" s="26" t="inlineStr">
        <is>
          <t>01.10.U756061</t>
        </is>
      </c>
      <c r="E20" s="26" t="n"/>
      <c r="F20" s="45" t="n">
        <v>125</v>
      </c>
      <c r="G20" s="46" t="n">
        <v>6617.4</v>
      </c>
      <c r="H20" s="28" t="n">
        <v>501.938</v>
      </c>
      <c r="I20" s="28" t="n">
        <v>545.5426</v>
      </c>
      <c r="J20" s="28" t="n">
        <v>1.8035</v>
      </c>
    </row>
    <row r="21" ht="31.15" customHeight="1">
      <c r="A21" s="25" t="inlineStr">
        <is>
          <t>CASE QTY:</t>
        </is>
      </c>
      <c r="B21" s="26" t="n"/>
      <c r="C21" s="26" t="n">
        <v>9000994916</v>
      </c>
      <c r="D21" s="26" t="inlineStr">
        <is>
          <t>01.10.U756061</t>
        </is>
      </c>
      <c r="E21" s="26" t="n"/>
      <c r="F21" s="45" t="n">
        <v>4</v>
      </c>
      <c r="G21" s="46" t="n">
        <v>219.4</v>
      </c>
      <c r="H21" s="28" t="n">
        <v>16.062</v>
      </c>
      <c r="I21" s="28" t="n">
        <v>17.4574</v>
      </c>
      <c r="J21" s="28" t="n">
        <v>0.0577</v>
      </c>
    </row>
    <row r="22" ht="31.15" customHeight="1">
      <c r="A22" s="25" t="inlineStr">
        <is>
          <t>MADE IN CAMBODIA</t>
        </is>
      </c>
      <c r="B22" s="26" t="inlineStr">
        <is>
          <t>2-13</t>
        </is>
      </c>
      <c r="C22" s="26" t="n">
        <v>9000994916</v>
      </c>
      <c r="D22" s="26" t="inlineStr">
        <is>
          <t>01.10.U756061</t>
        </is>
      </c>
      <c r="E22" s="26" t="n"/>
      <c r="F22" s="45" t="n">
        <v>98</v>
      </c>
      <c r="G22" s="46" t="n">
        <v>5425.4</v>
      </c>
      <c r="H22" s="28" t="n">
        <v>421</v>
      </c>
      <c r="I22" s="28" t="n">
        <v>466</v>
      </c>
      <c r="J22" s="28" t="n">
        <v>1.7028</v>
      </c>
    </row>
    <row r="23" ht="31.15" customHeight="1">
      <c r="A23" s="25" t="n"/>
      <c r="B23" s="26" t="inlineStr">
        <is>
          <t>3-13</t>
        </is>
      </c>
      <c r="C23" s="26" t="n">
        <v>9000994916</v>
      </c>
      <c r="D23" s="26" t="inlineStr">
        <is>
          <t>01.10.U756061</t>
        </is>
      </c>
      <c r="E23" s="26" t="n"/>
      <c r="F23" s="45" t="n">
        <v>195</v>
      </c>
      <c r="G23" s="46" t="n">
        <v>10658.2</v>
      </c>
      <c r="H23" s="28" t="n">
        <v>830.5</v>
      </c>
      <c r="I23" s="28" t="n">
        <v>875.5</v>
      </c>
      <c r="J23" s="28" t="n">
        <v>2.4948</v>
      </c>
    </row>
    <row r="24" ht="31.15" customHeight="1">
      <c r="A24" s="25" t="n"/>
      <c r="B24" s="26" t="inlineStr">
        <is>
          <t>4-13</t>
        </is>
      </c>
      <c r="C24" s="26" t="n">
        <v>9000994916</v>
      </c>
      <c r="D24" s="26" t="inlineStr">
        <is>
          <t>01.10.U756061</t>
        </is>
      </c>
      <c r="E24" s="26" t="n"/>
      <c r="F24" s="45" t="n">
        <v>185</v>
      </c>
      <c r="G24" s="46" t="n">
        <v>10157.7</v>
      </c>
      <c r="H24" s="28" t="n">
        <v>792</v>
      </c>
      <c r="I24" s="28" t="n">
        <v>837</v>
      </c>
      <c r="J24" s="28" t="n">
        <v>2.574</v>
      </c>
    </row>
    <row r="25" ht="31.15" customHeight="1">
      <c r="A25" s="25" t="n"/>
      <c r="B25" s="26" t="inlineStr">
        <is>
          <t>5-13</t>
        </is>
      </c>
      <c r="C25" s="26" t="n">
        <v>9000994916</v>
      </c>
      <c r="D25" s="26" t="inlineStr">
        <is>
          <t>01.10.U756061</t>
        </is>
      </c>
      <c r="E25" s="26" t="n"/>
      <c r="F25" s="45" t="n">
        <v>112</v>
      </c>
      <c r="G25" s="46" t="n">
        <v>6055.7</v>
      </c>
      <c r="H25" s="28" t="n">
        <v>445.1799</v>
      </c>
      <c r="I25" s="28" t="n">
        <v>481.4388</v>
      </c>
      <c r="J25" s="28" t="n">
        <v>1.723</v>
      </c>
    </row>
    <row r="26" ht="31.15" customHeight="1">
      <c r="A26" s="25" t="n"/>
      <c r="B26" s="26" t="n"/>
      <c r="C26" s="26" t="n">
        <v>9000994916</v>
      </c>
      <c r="D26" s="26" t="inlineStr">
        <is>
          <t>01.10.U756061</t>
        </is>
      </c>
      <c r="E26" s="26" t="n"/>
      <c r="F26" s="45" t="n">
        <v>27</v>
      </c>
      <c r="G26" s="46" t="n">
        <v>1083</v>
      </c>
      <c r="H26" s="28" t="n">
        <v>107.3201</v>
      </c>
      <c r="I26" s="28" t="n">
        <v>116.0612</v>
      </c>
      <c r="J26" s="28" t="n">
        <v>0.4154</v>
      </c>
    </row>
    <row r="27" ht="31.15" customHeight="1">
      <c r="A27" s="25" t="n"/>
      <c r="B27" s="26" t="inlineStr">
        <is>
          <t>6-13</t>
        </is>
      </c>
      <c r="C27" s="26" t="n">
        <v>9001011311</v>
      </c>
      <c r="D27" s="26" t="inlineStr">
        <is>
          <t>01.10.U756051</t>
        </is>
      </c>
      <c r="E27" s="26" t="n"/>
      <c r="F27" s="45" t="n">
        <v>98</v>
      </c>
      <c r="G27" s="46" t="n">
        <v>5095.7</v>
      </c>
      <c r="H27" s="28" t="n">
        <v>390.0202</v>
      </c>
      <c r="I27" s="28" t="n">
        <v>434.5657</v>
      </c>
      <c r="J27" s="28" t="n">
        <v>1.8032</v>
      </c>
    </row>
    <row r="28" ht="31.15" customHeight="1">
      <c r="A28" s="25" t="n"/>
      <c r="B28" s="26" t="n"/>
      <c r="C28" s="26" t="n">
        <v>9001011311</v>
      </c>
      <c r="D28" s="26" t="inlineStr">
        <is>
          <t>01.10.U756051</t>
        </is>
      </c>
      <c r="E28" s="26" t="n"/>
      <c r="F28" s="45" t="n">
        <v>1</v>
      </c>
      <c r="G28" s="46" t="n">
        <v>40.5</v>
      </c>
      <c r="H28" s="28" t="n">
        <v>3.9798</v>
      </c>
      <c r="I28" s="28" t="n">
        <v>4.4343</v>
      </c>
      <c r="J28" s="28" t="n">
        <v>0.0184</v>
      </c>
    </row>
    <row r="29" ht="31.15" customHeight="1">
      <c r="A29" s="25" t="n"/>
      <c r="B29" s="26" t="inlineStr">
        <is>
          <t>7-13</t>
        </is>
      </c>
      <c r="C29" s="26" t="n">
        <v>9000896339</v>
      </c>
      <c r="D29" s="26" t="inlineStr">
        <is>
          <t>01.10.O6508</t>
        </is>
      </c>
      <c r="E29" s="26" t="n"/>
      <c r="F29" s="45" t="n">
        <v>73</v>
      </c>
      <c r="G29" s="46" t="n">
        <v>3674.7</v>
      </c>
      <c r="H29" s="28" t="n">
        <v>332.4752</v>
      </c>
      <c r="I29" s="28" t="n">
        <v>365</v>
      </c>
      <c r="J29" s="28" t="n">
        <v>1.3166</v>
      </c>
    </row>
    <row r="30" ht="31.15" customHeight="1">
      <c r="A30" s="25" t="n"/>
      <c r="B30" s="26" t="n"/>
      <c r="C30" s="26" t="n">
        <v>9000896339</v>
      </c>
      <c r="D30" s="26" t="inlineStr">
        <is>
          <t>01.10.O6508</t>
        </is>
      </c>
      <c r="E30" s="26" t="n"/>
      <c r="F30" s="45" t="n">
        <v>28</v>
      </c>
      <c r="G30" s="46" t="n">
        <v>1077.3</v>
      </c>
      <c r="H30" s="28" t="n">
        <v>127.5248</v>
      </c>
      <c r="I30" s="28" t="n">
        <v>140</v>
      </c>
      <c r="J30" s="28" t="n">
        <v>0.505</v>
      </c>
    </row>
    <row r="31" ht="31.15" customHeight="1">
      <c r="A31" s="25" t="n"/>
      <c r="B31" s="26" t="inlineStr">
        <is>
          <t>8-13</t>
        </is>
      </c>
      <c r="C31" s="26" t="n">
        <v>9000999234</v>
      </c>
      <c r="D31" s="26" t="inlineStr">
        <is>
          <t>01.10.U528062-K</t>
        </is>
      </c>
      <c r="E31" s="26" t="n"/>
      <c r="F31" s="45" t="n">
        <v>162</v>
      </c>
      <c r="G31" s="46" t="n">
        <v>8876.6</v>
      </c>
      <c r="H31" s="28" t="n">
        <v>783.4820999999999</v>
      </c>
      <c r="I31" s="28" t="n">
        <v>826.875</v>
      </c>
      <c r="J31" s="28" t="n">
        <v>2.4439</v>
      </c>
    </row>
    <row r="32" ht="31.15" customHeight="1">
      <c r="A32" s="25" t="n"/>
      <c r="B32" s="26" t="n"/>
      <c r="C32" s="26" t="n">
        <v>9000999234</v>
      </c>
      <c r="D32" s="26" t="inlineStr">
        <is>
          <t>01.10.U528062-K</t>
        </is>
      </c>
      <c r="E32" s="26" t="n"/>
      <c r="F32" s="45" t="n">
        <v>6</v>
      </c>
      <c r="G32" s="46" t="n">
        <v>239.7</v>
      </c>
      <c r="H32" s="28" t="n">
        <v>29.0179</v>
      </c>
      <c r="I32" s="28" t="n">
        <v>30.625</v>
      </c>
      <c r="J32" s="28" t="n">
        <v>0.0905</v>
      </c>
    </row>
    <row r="33" ht="31.15" customHeight="1">
      <c r="A33" s="25" t="n"/>
      <c r="B33" s="26" t="inlineStr">
        <is>
          <t>9-13</t>
        </is>
      </c>
      <c r="C33" s="26" t="n">
        <v>9000997236</v>
      </c>
      <c r="D33" s="26" t="inlineStr">
        <is>
          <t>01.10.U562032-K</t>
        </is>
      </c>
      <c r="E33" s="26" t="n"/>
      <c r="F33" s="45" t="n">
        <v>81</v>
      </c>
      <c r="G33" s="46" t="n">
        <v>4772</v>
      </c>
      <c r="H33" s="28" t="n">
        <v>420.3</v>
      </c>
      <c r="I33" s="28" t="n">
        <v>460.8</v>
      </c>
      <c r="J33" s="28" t="n">
        <v>2.2097</v>
      </c>
    </row>
    <row r="34" ht="31.15" customHeight="1">
      <c r="A34" s="25" t="n"/>
      <c r="B34" s="26" t="n"/>
      <c r="C34" s="26" t="n">
        <v>9000997236</v>
      </c>
      <c r="D34" s="26" t="inlineStr">
        <is>
          <t>01.10.U562032-K</t>
        </is>
      </c>
      <c r="E34" s="26" t="n"/>
      <c r="F34" s="45" t="n">
        <v>6</v>
      </c>
      <c r="G34" s="46" t="n">
        <v>237.2</v>
      </c>
      <c r="H34" s="28" t="n">
        <v>31.1333</v>
      </c>
      <c r="I34" s="28" t="n">
        <v>34.1333</v>
      </c>
      <c r="J34" s="28" t="n">
        <v>0.1637</v>
      </c>
    </row>
    <row r="35" ht="31.15" customHeight="1">
      <c r="A35" s="25" t="n"/>
      <c r="B35" s="26" t="n"/>
      <c r="C35" s="26" t="n">
        <v>9000997236</v>
      </c>
      <c r="D35" s="26" t="inlineStr">
        <is>
          <t>01.10.U562032-K</t>
        </is>
      </c>
      <c r="E35" s="26" t="n"/>
      <c r="F35" s="45" t="n">
        <v>3</v>
      </c>
      <c r="G35" s="46" t="n">
        <v>118.4</v>
      </c>
      <c r="H35" s="28" t="n">
        <v>15.5667</v>
      </c>
      <c r="I35" s="28" t="n">
        <v>17.0667</v>
      </c>
      <c r="J35" s="28" t="n">
        <v>0.0818</v>
      </c>
    </row>
    <row r="36" ht="31.15" customHeight="1">
      <c r="A36" s="25" t="n"/>
      <c r="B36" s="26" t="inlineStr">
        <is>
          <t>10-13</t>
        </is>
      </c>
      <c r="C36" s="26" t="n">
        <v>9001013706</v>
      </c>
      <c r="D36" s="26" t="inlineStr">
        <is>
          <t>01.10.U741023</t>
        </is>
      </c>
      <c r="E36" s="26" t="n"/>
      <c r="F36" s="45" t="n">
        <v>21</v>
      </c>
      <c r="G36" s="46" t="n">
        <v>1227.3</v>
      </c>
      <c r="H36" s="28" t="n">
        <v>122.5</v>
      </c>
      <c r="I36" s="28" t="n">
        <v>167.5</v>
      </c>
      <c r="J36" s="28" t="n">
        <v>1.2672</v>
      </c>
    </row>
    <row r="37" ht="31.15" customHeight="1">
      <c r="A37" s="25" t="n"/>
      <c r="B37" s="26" t="inlineStr">
        <is>
          <t>11-13</t>
        </is>
      </c>
      <c r="C37" s="26" t="n">
        <v>9001013706</v>
      </c>
      <c r="D37" s="26" t="inlineStr">
        <is>
          <t>01.10.U741023</t>
        </is>
      </c>
      <c r="E37" s="26" t="n"/>
      <c r="F37" s="45" t="n">
        <v>22</v>
      </c>
      <c r="G37" s="46" t="n">
        <v>1254.1</v>
      </c>
      <c r="H37" s="28" t="n">
        <v>129</v>
      </c>
      <c r="I37" s="28" t="n">
        <v>174</v>
      </c>
      <c r="J37" s="28" t="n">
        <v>1.188</v>
      </c>
    </row>
    <row r="38" ht="31.15" customHeight="1">
      <c r="A38" s="25" t="n"/>
      <c r="B38" s="26" t="inlineStr">
        <is>
          <t>12-13</t>
        </is>
      </c>
      <c r="C38" s="26" t="n">
        <v>9000988644</v>
      </c>
      <c r="D38" s="26" t="inlineStr">
        <is>
          <t>01.10.L2931</t>
        </is>
      </c>
      <c r="E38" s="26" t="n"/>
      <c r="F38" s="45" t="n">
        <v>70</v>
      </c>
      <c r="G38" s="46" t="n">
        <v>3444.4</v>
      </c>
      <c r="H38" s="28" t="n">
        <v>363.5</v>
      </c>
      <c r="I38" s="28" t="n">
        <v>408.5</v>
      </c>
      <c r="J38" s="28" t="n">
        <v>2.0592</v>
      </c>
    </row>
    <row r="39" ht="31.15" customHeight="1">
      <c r="A39" s="25" t="n"/>
      <c r="B39" s="26" t="inlineStr">
        <is>
          <t>13-13</t>
        </is>
      </c>
      <c r="C39" s="26" t="n">
        <v>9000988644</v>
      </c>
      <c r="D39" s="26" t="inlineStr">
        <is>
          <t>01.10.L2931</t>
        </is>
      </c>
      <c r="E39" s="26" t="n"/>
      <c r="F39" s="45" t="n">
        <v>105</v>
      </c>
      <c r="G39" s="46" t="n">
        <v>5215.6</v>
      </c>
      <c r="H39" s="28" t="n">
        <v>377.087</v>
      </c>
      <c r="I39" s="28" t="n">
        <v>418.1739</v>
      </c>
      <c r="J39" s="28" t="n">
        <v>1.627</v>
      </c>
    </row>
    <row r="40" ht="31.15" customHeight="1">
      <c r="A40" s="25" t="n"/>
      <c r="B40" s="26" t="n"/>
      <c r="C40" s="26" t="n">
        <v>9000988644</v>
      </c>
      <c r="D40" s="26" t="inlineStr">
        <is>
          <t>01.10.L2931</t>
        </is>
      </c>
      <c r="E40" s="26" t="n"/>
      <c r="F40" s="45" t="n">
        <v>10</v>
      </c>
      <c r="G40" s="46" t="n">
        <v>406.7</v>
      </c>
      <c r="H40" s="28" t="n">
        <v>35.913</v>
      </c>
      <c r="I40" s="28" t="n">
        <v>39.8261</v>
      </c>
      <c r="J40" s="28" t="n">
        <v>0.155</v>
      </c>
    </row>
    <row r="41" ht="31.15" customHeight="1">
      <c r="A41" s="29" t="n"/>
      <c r="B41" s="21" t="inlineStr">
        <is>
          <t>(HS.CODE: 4107.12.00)</t>
        </is>
      </c>
      <c r="C41" s="21" t="n"/>
      <c r="D41" s="21" t="n"/>
      <c r="E41" s="21" t="n"/>
      <c r="F41" s="43" t="n"/>
      <c r="G41" s="44" t="n"/>
      <c r="H41" s="23" t="n"/>
      <c r="I41" s="23" t="n"/>
      <c r="J41" s="23" t="n"/>
    </row>
    <row r="42" ht="31.15" customHeight="1">
      <c r="A42" s="30" t="n"/>
      <c r="B42" s="21" t="inlineStr">
        <is>
          <t>TOTAL OF:</t>
        </is>
      </c>
      <c r="C42" s="21" t="n"/>
      <c r="D42" s="21" t="n"/>
      <c r="E42" s="21" t="n"/>
      <c r="F42" s="43">
        <f>SUM(F20:F40)</f>
        <v/>
      </c>
      <c r="G42" s="44">
        <f>SUM(G20:G40)</f>
        <v/>
      </c>
      <c r="H42" s="23">
        <f>SUM(H20:H40)</f>
        <v/>
      </c>
      <c r="I42" s="23">
        <f>SUM(I20:I40)</f>
        <v/>
      </c>
      <c r="J42" s="23">
        <f>SUM(J20:J40)</f>
        <v/>
      </c>
    </row>
    <row r="43"/>
    <row r="44"/>
    <row r="45"/>
    <row r="46" ht="42" customHeight="1">
      <c r="A46" s="31" t="inlineStr">
        <is>
          <t>Country of Original Cambodia</t>
        </is>
      </c>
    </row>
    <row r="47" ht="49.5" customHeight="1">
      <c r="A47" s="32" t="inlineStr">
        <is>
          <t>Manufacture:</t>
        </is>
      </c>
      <c r="B47" s="33" t="inlineStr">
        <is>
          <t>CALIFOR UPHOLSTERY MATERIALS CO., LTD.
XIN BAVET SEZ, Road No. 316A, Trapeang Bon and Prey Kokir Villages, Prey Kokir Commune, Chantrea District,Svay Rieng Province, Kingdom of Cambodia, Tel: +855   975910636</t>
        </is>
      </c>
    </row>
    <row r="48" ht="44.1" customHeight="1">
      <c r="A48" s="34" t="inlineStr">
        <is>
          <t>BENEFICIARY BANK：BANK OF CHINA(HONG KONG)LIMITED PHNOM PENH BRANCH
                                          /BANK OF CHINA PHNOM PENH BRANCH</t>
        </is>
      </c>
    </row>
    <row r="49" ht="24.75" customHeight="1">
      <c r="A49" s="35" t="inlineStr">
        <is>
          <t>A/C NO:100001100764430</t>
        </is>
      </c>
    </row>
    <row r="50" ht="27" customHeight="1">
      <c r="A50" s="35" t="inlineStr">
        <is>
          <t>SWIFT CODE  ：BKCHKHPPXXX</t>
        </is>
      </c>
    </row>
    <row r="51" ht="51" customHeight="1">
      <c r="I51" s="36" t="inlineStr">
        <is>
          <t>CALIFOR UPHOLSTERY MATERIALS CO., LTD.</t>
        </is>
      </c>
    </row>
    <row r="52" ht="51" customHeight="1"/>
    <row r="53"/>
    <row r="54">
      <c r="I54" s="37" t="inlineStr">
        <is>
          <t>ZENG XUELI</t>
        </is>
      </c>
    </row>
  </sheetData>
  <mergeCells count="37">
    <mergeCell ref="B27:B28"/>
    <mergeCell ref="A5:J5"/>
    <mergeCell ref="B9:E9"/>
    <mergeCell ref="A48:E48"/>
    <mergeCell ref="B18:B19"/>
    <mergeCell ref="B15:E15"/>
    <mergeCell ref="B33:B35"/>
    <mergeCell ref="A4:J4"/>
    <mergeCell ref="B10:E10"/>
    <mergeCell ref="B29:B30"/>
    <mergeCell ref="B39:B40"/>
    <mergeCell ref="I18:I19"/>
    <mergeCell ref="F18:G18"/>
    <mergeCell ref="B16:E16"/>
    <mergeCell ref="A46:E46"/>
    <mergeCell ref="E20:E40"/>
    <mergeCell ref="B47:E47"/>
    <mergeCell ref="A18:A19"/>
    <mergeCell ref="A49:J49"/>
    <mergeCell ref="A1:J1"/>
    <mergeCell ref="D18:D19"/>
    <mergeCell ref="J18:J19"/>
    <mergeCell ref="B41:D41"/>
    <mergeCell ref="A6:J6"/>
    <mergeCell ref="B11:E11"/>
    <mergeCell ref="B20:B21"/>
    <mergeCell ref="H18:H19"/>
    <mergeCell ref="B14:E14"/>
    <mergeCell ref="B8:E8"/>
    <mergeCell ref="E18:E19"/>
    <mergeCell ref="B13:E13"/>
    <mergeCell ref="A3:J3"/>
    <mergeCell ref="B25:B26"/>
    <mergeCell ref="A50:J50"/>
    <mergeCell ref="A2:J2"/>
    <mergeCell ref="C18:C19"/>
    <mergeCell ref="B31:B32"/>
  </mergeCells>
  <printOptions horizontalCentered="1" verticalCentered="0"/>
  <pageMargins left="0.1" right="0.1" top="0.75" bottom="0.75" header="0.5" footer="0.5"/>
  <pageSetup orientation="portrait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ref_no</t>
        </is>
      </c>
      <c r="B1" t="inlineStr">
        <is>
          <t>CLF2026-267</t>
        </is>
      </c>
    </row>
    <row r="2">
      <c r="A2" t="inlineStr">
        <is>
          <t>invoice_no</t>
        </is>
      </c>
      <c r="B2" t="inlineStr">
        <is>
          <t>test1111111111</t>
        </is>
      </c>
    </row>
    <row r="3">
      <c r="A3" t="inlineStr">
        <is>
          <t>date</t>
        </is>
      </c>
      <c r="B3" s="47" t="n">
        <v>46227</v>
      </c>
    </row>
    <row r="4">
      <c r="A4" t="inlineStr">
        <is>
          <t>net</t>
        </is>
      </c>
      <c r="B4" t="n">
        <v>6275.5</v>
      </c>
    </row>
    <row r="5">
      <c r="A5" t="inlineStr">
        <is>
          <t>gross</t>
        </is>
      </c>
      <c r="B5" t="n">
        <v>6860.5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2026-07-25T03:45:59Z</dcterms:created>
  <dcterms:modified xmlns:dcterms="http://purl.org/dc/terms/" xmlns:xsi="http://www.w3.org/2001/XMLSchema-instance" xsi:type="dcterms:W3CDTF">2026-07-25T03:45:59Z</dcterms:modified>
</cp:coreProperties>
</file>