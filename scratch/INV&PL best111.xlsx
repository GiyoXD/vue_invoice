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acking list" sheetId="2" state="visible" r:id="rId2"/>
    <sheet xmlns:r="http://schemas.openxmlformats.org/officeDocument/2006/relationships" name="DeepSheet" sheetId="3" state="veryHidden" r:id="rId3"/>
  </sheets>
  <definedNames>
    <definedName name="_xlnm.Print_Area" localSheetId="0">'Invoice'!$A$1:$H$47</definedName>
    <definedName name="_xlnm.Print_Area" localSheetId="1">'Packing list'!$A$1:$J$80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dd\-mmm\-yyyy"/>
  </numFmts>
  <fonts count="10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20"/>
    </font>
    <font>
      <name val="Times New Roman"/>
      <sz val="11"/>
    </font>
    <font>
      <name val="Times New Roman"/>
      <b val="1"/>
      <sz val="24"/>
    </font>
    <font>
      <name val="Times New Roman"/>
      <b val="1"/>
      <sz val="11"/>
    </font>
    <font>
      <name val="Times New Roman"/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</border>
    <border>
      <left style="thin"/>
      <right style="thin"/>
      <bottom style="thin"/>
    </border>
    <border>
      <bottom style="medium"/>
    </border>
    <border>
      <left/>
      <right/>
      <top/>
      <bottom style="medium"/>
      <diagonal/>
    </border>
    <border>
      <top style="medium"/>
    </border>
    <border>
      <left/>
      <right/>
      <top style="medium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7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/>
    </xf>
    <xf numFmtId="0" fontId="4" fillId="0" borderId="0" pivotButton="0" quotePrefix="0" xfId="0"/>
    <xf numFmtId="49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center" vertical="center" wrapText="1"/>
    </xf>
    <xf numFmtId="49" fontId="1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1" showRowColHeaders="1" view="pageBreakPreview" workbookViewId="0">
      <selection activeCell="A1" sqref="A1"/>
    </sheetView>
  </sheetViews>
  <sheetFormatPr baseColWidth="8" defaultRowHeight="15"/>
  <cols>
    <col width="24.14" customWidth="1" min="1" max="1"/>
    <col width="24.43" customWidth="1" min="2" max="2"/>
    <col width="50.57" customWidth="1" min="3" max="3"/>
    <col width="22.14" customWidth="1" min="4" max="4"/>
    <col width="18" customWidth="1" min="5" max="5"/>
    <col width="13.86" customWidth="1" min="6" max="6"/>
    <col width="16.14" customWidth="1" min="7" max="7"/>
    <col width="18.14" customWidth="1" min="8" max="8"/>
  </cols>
  <sheetData>
    <row r="1" ht="38.25" customHeight="1">
      <c r="A1" s="1" t="inlineStr">
        <is>
          <t>CALIFOR UPHOLSTERY MATERIALS CO., LTD.</t>
        </is>
      </c>
    </row>
    <row r="2" ht="24" customHeight="1">
      <c r="A2" s="2" t="inlineStr">
        <is>
          <t>XIN BAVET SEZ, Road No. 316A, Trapeang Bon and  Prey Kokir  Villages, Prey Kokir  Commune, Chantrea District,</t>
        </is>
      </c>
    </row>
    <row r="3" ht="17.25" customHeight="1">
      <c r="A3" s="3" t="inlineStr">
        <is>
          <t>Svay Rieng Province, Kingdom of Cambodia.</t>
        </is>
      </c>
    </row>
    <row r="4" ht="17.25" customHeight="1">
      <c r="A4" s="3" t="inlineStr">
        <is>
          <t>VAT:L001-901903209</t>
        </is>
      </c>
    </row>
    <row r="5" ht="25.5" customHeight="1">
      <c r="A5" s="4" t="inlineStr">
        <is>
          <t>Tel: +855   975910636</t>
        </is>
      </c>
      <c r="B5" s="5" t="n"/>
      <c r="C5" s="5" t="n"/>
      <c r="D5" s="5" t="n"/>
      <c r="E5" s="5" t="n"/>
      <c r="F5" s="5" t="n"/>
      <c r="G5" s="5" t="n"/>
      <c r="H5" s="5" t="n"/>
    </row>
    <row r="6" ht="83.25" customHeight="1">
      <c r="A6" s="6" t="inlineStr">
        <is>
          <t>INVOICE</t>
        </is>
      </c>
      <c r="B6" s="7" t="n"/>
      <c r="C6" s="7" t="n"/>
      <c r="D6" s="7" t="n"/>
      <c r="E6" s="7" t="n"/>
      <c r="F6" s="7" t="n"/>
      <c r="G6" s="7" t="n"/>
      <c r="H6" s="7" t="n"/>
    </row>
    <row r="7" ht="16.5" customHeight="1">
      <c r="G7" s="8" t="inlineStr">
        <is>
          <t>Ref No.:</t>
        </is>
      </c>
      <c r="H7" s="8">
        <f>'Packing list'!J7</f>
        <v/>
      </c>
    </row>
    <row r="8" ht="30" customHeight="1">
      <c r="A8" s="9" t="inlineStr">
        <is>
          <t>EXPORTER:</t>
        </is>
      </c>
      <c r="B8" s="10" t="inlineStr">
        <is>
          <t>CALIFOR UPHOLSTERY MATERIALS CO., LTD.</t>
        </is>
      </c>
      <c r="G8" s="11" t="inlineStr">
        <is>
          <t>INVOICE NO :</t>
        </is>
      </c>
      <c r="H8" s="11">
        <f>'Packing list'!J8</f>
        <v/>
      </c>
    </row>
    <row r="9" ht="21" customHeight="1">
      <c r="B9" s="8" t="inlineStr">
        <is>
          <t>XIN BAVET SEZ, Road No. 316A, Trapeang Bon and Prey Kokir Villages,</t>
        </is>
      </c>
      <c r="G9" s="11" t="inlineStr">
        <is>
          <t>Date:</t>
        </is>
      </c>
      <c r="H9" s="12">
        <f>'Packing list'!J9</f>
        <v/>
      </c>
    </row>
    <row r="10" ht="22.5" customHeight="1">
      <c r="B10" s="8" t="inlineStr">
        <is>
          <t>Prey Kokir Commune, Chantrea District,Svay Rieng Province, Kingdom of Cambodia .</t>
        </is>
      </c>
      <c r="G10" s="13" t="inlineStr">
        <is>
          <t>DAF:</t>
        </is>
      </c>
      <c r="H10" s="11" t="inlineStr">
        <is>
          <t>BAVET</t>
        </is>
      </c>
    </row>
    <row r="11" ht="20.25" customHeight="1">
      <c r="B11" s="8" t="inlineStr">
        <is>
          <t>Tel: +855   975910636</t>
        </is>
      </c>
      <c r="G11" s="14" t="inlineStr">
        <is>
          <t>ETD：</t>
        </is>
      </c>
      <c r="H11" s="12">
        <f>H9</f>
        <v/>
      </c>
    </row>
    <row r="12" ht="18.95" customHeight="1">
      <c r="G12" s="14" t="inlineStr">
        <is>
          <t>ETA:</t>
        </is>
      </c>
      <c r="H12" s="12">
        <f>H11+1</f>
        <v/>
      </c>
    </row>
    <row r="13" ht="25.5" customHeight="1">
      <c r="A13" s="15" t="inlineStr">
        <is>
          <t>CONSIGNEE :</t>
        </is>
      </c>
      <c r="B13" s="16" t="inlineStr">
        <is>
          <t>Wanek Furniture Co., LTD.</t>
        </is>
      </c>
    </row>
    <row r="14" ht="25.5" customHeight="1">
      <c r="B14" s="17" t="inlineStr">
        <is>
          <t>Lot D_5A_CN, D_5C_CN, D_5E_CN, My Phuoc 3 Industrial Park, Thoi Hoa Ward, Ho Chi Minh City, Vietnam.</t>
        </is>
      </c>
    </row>
    <row r="15" ht="25.5" customHeight="1">
      <c r="B15" s="18" t="inlineStr">
        <is>
          <t>P+84 650 3655 200 EXT:7074 MS EMILY(C&amp;L)/MS DOROTHY(CR) EXT:7036 MS JANE (PURCHASING)</t>
        </is>
      </c>
    </row>
    <row r="16" ht="27.75" customHeight="1">
      <c r="A16" s="19" t="inlineStr">
        <is>
          <t xml:space="preserve">SHIP: </t>
        </is>
      </c>
      <c r="B16" s="20" t="inlineStr">
        <is>
          <t>BY TRUCK FROM BAVET, SVAY RIENG, CAMBODIA TO HO CHI MINH, VIETNAM.</t>
        </is>
      </c>
    </row>
    <row r="17" ht="27.75" customHeight="1"/>
    <row r="18" ht="42" customHeight="1">
      <c r="A18" s="21" t="inlineStr">
        <is>
          <t>Mark &amp; Nº</t>
        </is>
      </c>
      <c r="B18" s="21" t="inlineStr">
        <is>
          <t>P.O. Nº</t>
        </is>
      </c>
      <c r="C18" s="21" t="inlineStr">
        <is>
          <t>Description</t>
        </is>
      </c>
      <c r="D18" s="22" t="n"/>
      <c r="E18" s="21" t="inlineStr">
        <is>
          <t>ITEM Nº</t>
        </is>
      </c>
      <c r="F18" s="23" t="inlineStr">
        <is>
          <t>Quantity
(SF)</t>
        </is>
      </c>
      <c r="G18" s="23" t="inlineStr">
        <is>
          <t>Unit price
(USD)</t>
        </is>
      </c>
      <c r="H18" s="23" t="inlineStr">
        <is>
          <t>Amount
(USD)</t>
        </is>
      </c>
    </row>
    <row r="19" ht="42" customHeight="1">
      <c r="C19" s="24" t="inlineStr">
        <is>
          <t>L LEESWORTH BUFFALO DARK BROWN        L LEESWORTH BUFFALO OCEAN U43809</t>
        </is>
      </c>
      <c r="D19" s="24" t="inlineStr">
        <is>
          <t>BUFFALO LEATHER</t>
        </is>
      </c>
    </row>
    <row r="20" ht="42" customHeight="1">
      <c r="A20" s="25" t="inlineStr">
        <is>
          <t>VENDOR#:</t>
        </is>
      </c>
      <c r="B20" s="26" t="n">
        <v>9000994916</v>
      </c>
      <c r="C20" s="27" t="n"/>
      <c r="D20" s="27" t="n"/>
      <c r="E20" s="26" t="inlineStr">
        <is>
          <t>01.10.U756061</t>
        </is>
      </c>
      <c r="F20" s="28" t="n">
        <v>77828.8</v>
      </c>
      <c r="G20" s="28" t="n">
        <v>1.16</v>
      </c>
      <c r="H20" s="28">
        <f>F20 * G20</f>
        <v/>
      </c>
    </row>
    <row r="21" ht="42" customHeight="1">
      <c r="A21" s="25" t="inlineStr">
        <is>
          <t>CASE QTY:</t>
        </is>
      </c>
      <c r="B21" s="26" t="n">
        <v>9000994916</v>
      </c>
      <c r="C21" s="27" t="n"/>
      <c r="D21" s="27" t="n"/>
      <c r="E21" s="26" t="inlineStr">
        <is>
          <t>01.10.U756061</t>
        </is>
      </c>
      <c r="F21" s="28" t="n">
        <v>438.8</v>
      </c>
      <c r="G21" s="28" t="n">
        <v>0.99</v>
      </c>
      <c r="H21" s="28">
        <f>F21 * G21</f>
        <v/>
      </c>
    </row>
    <row r="22" ht="42" customHeight="1">
      <c r="A22" s="25" t="inlineStr">
        <is>
          <t>MADE IN CAMBODIA</t>
        </is>
      </c>
      <c r="B22" s="26" t="n">
        <v>9000994916</v>
      </c>
      <c r="C22" s="27" t="n"/>
      <c r="D22" s="27" t="n"/>
      <c r="E22" s="26" t="inlineStr">
        <is>
          <t>01.10.U756061</t>
        </is>
      </c>
      <c r="F22" s="28" t="n">
        <v>2166</v>
      </c>
      <c r="G22" s="28" t="n">
        <v>1.04</v>
      </c>
      <c r="H22" s="28">
        <f>F22 * G22</f>
        <v/>
      </c>
    </row>
    <row r="23" ht="42" customHeight="1">
      <c r="A23" s="25" t="n"/>
      <c r="B23" s="26" t="n">
        <v>9001011311</v>
      </c>
      <c r="C23" s="27" t="n"/>
      <c r="D23" s="27" t="n"/>
      <c r="E23" s="26" t="inlineStr">
        <is>
          <t>01.10.U756051</t>
        </is>
      </c>
      <c r="F23" s="28" t="n">
        <v>10191.4</v>
      </c>
      <c r="G23" s="28" t="n">
        <v>1.16</v>
      </c>
      <c r="H23" s="28">
        <f>F23 * G23</f>
        <v/>
      </c>
    </row>
    <row r="24" ht="42" customHeight="1">
      <c r="A24" s="25" t="n"/>
      <c r="B24" s="26" t="n">
        <v>9001011311</v>
      </c>
      <c r="C24" s="27" t="n"/>
      <c r="D24" s="27" t="n"/>
      <c r="E24" s="26" t="inlineStr">
        <is>
          <t>01.10.U756051</t>
        </is>
      </c>
      <c r="F24" s="28" t="n">
        <v>81</v>
      </c>
      <c r="G24" s="28" t="n">
        <v>1.04</v>
      </c>
      <c r="H24" s="28">
        <f>F24 * G24</f>
        <v/>
      </c>
    </row>
    <row r="25" ht="42" customHeight="1">
      <c r="A25" s="25" t="n"/>
      <c r="B25" s="26" t="n">
        <v>9000896339</v>
      </c>
      <c r="C25" s="27" t="n"/>
      <c r="D25" s="27" t="n"/>
      <c r="E25" s="26" t="inlineStr">
        <is>
          <t>01.10.O6508</t>
        </is>
      </c>
      <c r="F25" s="28" t="n">
        <v>7349.4</v>
      </c>
      <c r="G25" s="28" t="n">
        <v>1.03</v>
      </c>
      <c r="H25" s="28">
        <f>F25 * G25</f>
        <v/>
      </c>
    </row>
    <row r="26" ht="42" customHeight="1">
      <c r="A26" s="25" t="n"/>
      <c r="B26" s="26" t="n">
        <v>9000896339</v>
      </c>
      <c r="C26" s="27" t="n"/>
      <c r="D26" s="27" t="n"/>
      <c r="E26" s="26" t="inlineStr">
        <is>
          <t>01.10.O6508</t>
        </is>
      </c>
      <c r="F26" s="28" t="n">
        <v>2154.6</v>
      </c>
      <c r="G26" s="28" t="n">
        <v>0.93</v>
      </c>
      <c r="H26" s="28">
        <f>F26 * G26</f>
        <v/>
      </c>
    </row>
    <row r="27" ht="42" customHeight="1">
      <c r="A27" s="25" t="n"/>
      <c r="B27" s="26" t="n">
        <v>9000999234</v>
      </c>
      <c r="C27" s="27" t="n"/>
      <c r="D27" s="27" t="n"/>
      <c r="E27" s="26" t="inlineStr">
        <is>
          <t>01.10.U528062-K</t>
        </is>
      </c>
      <c r="F27" s="28" t="n">
        <v>17753.2</v>
      </c>
      <c r="G27" s="28" t="n">
        <v>0.95</v>
      </c>
      <c r="H27" s="28">
        <f>F27 * G27</f>
        <v/>
      </c>
    </row>
    <row r="28" ht="42" customHeight="1">
      <c r="A28" s="25" t="n"/>
      <c r="B28" s="26" t="n">
        <v>9000999234</v>
      </c>
      <c r="C28" s="27" t="n"/>
      <c r="D28" s="27" t="n"/>
      <c r="E28" s="26" t="inlineStr">
        <is>
          <t>01.10.U528062-K</t>
        </is>
      </c>
      <c r="F28" s="28" t="n">
        <v>479.4</v>
      </c>
      <c r="G28" s="28" t="n">
        <v>0.86</v>
      </c>
      <c r="H28" s="28">
        <f>F28 * G28</f>
        <v/>
      </c>
    </row>
    <row r="29" ht="42" customHeight="1">
      <c r="A29" s="25" t="n"/>
      <c r="B29" s="26" t="n">
        <v>9000997236</v>
      </c>
      <c r="C29" s="27" t="n"/>
      <c r="D29" s="27" t="n"/>
      <c r="E29" s="26" t="inlineStr">
        <is>
          <t>01.10.U562032-K</t>
        </is>
      </c>
      <c r="F29" s="28" t="n">
        <v>9544</v>
      </c>
      <c r="G29" s="28" t="n">
        <v>1.41</v>
      </c>
      <c r="H29" s="28">
        <f>F29 * G29</f>
        <v/>
      </c>
    </row>
    <row r="30" ht="42" customHeight="1">
      <c r="A30" s="25" t="n"/>
      <c r="B30" s="26" t="n">
        <v>9000997236</v>
      </c>
      <c r="C30" s="27" t="n"/>
      <c r="D30" s="27" t="n"/>
      <c r="E30" s="26" t="inlineStr">
        <is>
          <t>01.10.U562032-K</t>
        </is>
      </c>
      <c r="F30" s="28" t="n">
        <v>474.4</v>
      </c>
      <c r="G30" s="28" t="n">
        <v>1.27</v>
      </c>
      <c r="H30" s="28">
        <f>F30 * G30</f>
        <v/>
      </c>
    </row>
    <row r="31" ht="42" customHeight="1">
      <c r="A31" s="25" t="n"/>
      <c r="B31" s="26" t="n">
        <v>9000997236</v>
      </c>
      <c r="C31" s="27" t="n"/>
      <c r="D31" s="27" t="n"/>
      <c r="E31" s="26" t="inlineStr">
        <is>
          <t>01.10.U562032-K</t>
        </is>
      </c>
      <c r="F31" s="28" t="n">
        <v>236.8</v>
      </c>
      <c r="G31" s="28" t="n">
        <v>1.2</v>
      </c>
      <c r="H31" s="28">
        <f>F31 * G31</f>
        <v/>
      </c>
    </row>
    <row r="32" ht="42" customHeight="1">
      <c r="A32" s="25" t="n"/>
      <c r="B32" s="26" t="n">
        <v>9001013706</v>
      </c>
      <c r="C32" s="27" t="n"/>
      <c r="D32" s="27" t="n"/>
      <c r="E32" s="26" t="inlineStr">
        <is>
          <t>01.10.U741023</t>
        </is>
      </c>
      <c r="F32" s="28" t="n">
        <v>4962.8</v>
      </c>
      <c r="G32" s="28" t="n">
        <v>1.32</v>
      </c>
      <c r="H32" s="28">
        <f>F32 * G32</f>
        <v/>
      </c>
    </row>
    <row r="33" ht="42" customHeight="1">
      <c r="A33" s="25" t="n"/>
      <c r="B33" s="26" t="n">
        <v>9000988644</v>
      </c>
      <c r="C33" s="27" t="n"/>
      <c r="D33" s="27" t="n"/>
      <c r="E33" s="26" t="inlineStr">
        <is>
          <t>01.10.L2931</t>
        </is>
      </c>
      <c r="F33" s="28" t="n">
        <v>17320</v>
      </c>
      <c r="G33" s="28" t="n">
        <v>1.21</v>
      </c>
      <c r="H33" s="28">
        <f>F33 * G33</f>
        <v/>
      </c>
    </row>
    <row r="34" ht="42" customHeight="1">
      <c r="A34" s="25" t="n"/>
      <c r="B34" s="26" t="n">
        <v>9000988644</v>
      </c>
      <c r="C34" s="27" t="n"/>
      <c r="D34" s="27" t="n"/>
      <c r="E34" s="26" t="inlineStr">
        <is>
          <t>01.10.L2931</t>
        </is>
      </c>
      <c r="F34" s="28" t="n">
        <v>813.4</v>
      </c>
      <c r="G34" s="28" t="n">
        <v>1.09</v>
      </c>
      <c r="H34" s="28">
        <f>F34 * G34</f>
        <v/>
      </c>
    </row>
    <row r="35" ht="42" customHeight="1">
      <c r="A35" s="29" t="n"/>
      <c r="B35" s="21" t="inlineStr">
        <is>
          <t xml:space="preserve"> (HS.CODE: 4107.12.00)</t>
        </is>
      </c>
      <c r="C35" s="24" t="n"/>
      <c r="D35" s="24" t="n"/>
      <c r="E35" s="21" t="n"/>
      <c r="F35" s="23" t="n"/>
      <c r="G35" s="23" t="n"/>
      <c r="H35" s="23" t="n"/>
    </row>
    <row r="36" ht="42" customHeight="1">
      <c r="A36" s="30" t="n"/>
      <c r="B36" s="21" t="inlineStr">
        <is>
          <t>TOTAL OF:</t>
        </is>
      </c>
      <c r="C36" s="21" t="inlineStr">
        <is>
          <t>26 PALLETS</t>
        </is>
      </c>
      <c r="D36" s="24" t="n"/>
      <c r="E36" s="21" t="n"/>
      <c r="F36" s="23">
        <f>SUM(F20:F34)</f>
        <v/>
      </c>
      <c r="G36" s="23" t="n"/>
      <c r="H36" s="23">
        <f>SUM(H20:H34)</f>
        <v/>
      </c>
    </row>
    <row r="37" ht="24.75" customHeight="1"/>
    <row r="38" ht="42" customHeight="1">
      <c r="A38" s="31" t="inlineStr">
        <is>
          <t>Country of Original Cambodia</t>
        </is>
      </c>
    </row>
    <row r="39" ht="61.5" customHeight="1">
      <c r="A39" s="32" t="inlineStr">
        <is>
          <t>Manufacture:</t>
        </is>
      </c>
      <c r="B39" s="33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</row>
    <row r="40" ht="42" customHeight="1">
      <c r="A40" s="34" t="inlineStr">
        <is>
          <t>BENEFICIARY BANK：BANK OF CHINA(HONG KONG)LIMITED PHNOM PENH BRANCH
                                                  /BANK OF CHINA PHNOM PENH BRANCH</t>
        </is>
      </c>
    </row>
    <row r="41" ht="24.75" customHeight="1">
      <c r="A41" s="35" t="inlineStr">
        <is>
          <t>A/C NO:100001100764430</t>
        </is>
      </c>
    </row>
    <row r="42" ht="27" customHeight="1">
      <c r="A42" s="35" t="inlineStr">
        <is>
          <t>SWIFT CODE  ：BKCHKHPPXXX</t>
        </is>
      </c>
    </row>
    <row r="43" ht="42" customHeight="1">
      <c r="G43" s="36" t="inlineStr">
        <is>
          <t>CALIFOR UPHOLSTERY MATERIALS CO., LTD.</t>
        </is>
      </c>
    </row>
    <row r="44" ht="24.75" customHeight="1">
      <c r="G44" s="2" t="inlineStr">
        <is>
          <t>Sign &amp; Stamp</t>
        </is>
      </c>
    </row>
    <row r="45" ht="27" customHeight="1"/>
    <row r="46" ht="21" customHeight="1"/>
    <row r="47" ht="39" customHeight="1">
      <c r="G47" s="37" t="inlineStr">
        <is>
          <t>ZENG XUELI</t>
        </is>
      </c>
    </row>
    <row r="48" ht="39" customHeight="1"/>
    <row r="49" ht="39" customHeight="1"/>
    <row r="50" ht="21" customHeight="1"/>
    <row r="51" ht="21" customHeight="1"/>
    <row r="52" ht="21" customHeight="1"/>
    <row r="53" ht="25.5" customHeight="1"/>
    <row r="54" ht="21" customHeight="1"/>
    <row r="55" ht="21" customHeight="1"/>
    <row r="56" ht="21" customHeight="1"/>
    <row r="57" ht="21" customHeight="1"/>
    <row r="58" ht="21" customHeight="1"/>
    <row r="59" ht="17.25" customHeight="1"/>
  </sheetData>
  <mergeCells count="13">
    <mergeCell ref="A4:H4"/>
    <mergeCell ref="A3:H3"/>
    <mergeCell ref="A5:H5"/>
    <mergeCell ref="A38:E38"/>
    <mergeCell ref="A2:H2"/>
    <mergeCell ref="A40:E40"/>
    <mergeCell ref="A42:H42"/>
    <mergeCell ref="B39:E39"/>
    <mergeCell ref="A41:H41"/>
    <mergeCell ref="A1:H1"/>
    <mergeCell ref="C18:D18"/>
    <mergeCell ref="B35:C35"/>
    <mergeCell ref="A6:H6"/>
  </mergeCells>
  <printOptions horizontalCentered="1" verticalCentered="0"/>
  <pageMargins left="0.1" right="0.1" top="0.75" bottom="0.7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0"/>
  <sheetViews>
    <sheetView showGridLines="1" showRowColHeaders="1" view="pageBreakPreview" workbookViewId="0">
      <selection activeCell="A1" sqref="A1"/>
    </sheetView>
  </sheetViews>
  <sheetFormatPr baseColWidth="8" defaultRowHeight="15"/>
  <cols>
    <col width="29.57" customWidth="1" min="1" max="1"/>
    <col width="16.14" customWidth="1" min="2" max="2"/>
    <col width="24" customWidth="1" min="3" max="3"/>
    <col width="17" customWidth="1" min="4" max="4"/>
    <col width="50.43" customWidth="1" min="5" max="5"/>
    <col width="13" customWidth="1" min="6" max="6"/>
    <col width="16" customWidth="1" min="7" max="7"/>
    <col width="13" customWidth="1" min="8" max="8"/>
    <col width="16.29" customWidth="1" min="9" max="9"/>
    <col width="18" customWidth="1" min="10" max="10"/>
  </cols>
  <sheetData>
    <row r="1" ht="38.25" customHeight="1">
      <c r="A1" s="1" t="inlineStr">
        <is>
          <t>CALIFOR UPHOLSTERY MATERIALS CO., LTD.</t>
        </is>
      </c>
    </row>
    <row r="2" ht="24" customHeight="1">
      <c r="A2" s="2" t="inlineStr">
        <is>
          <t xml:space="preserve"> XIN BAVET SEZ, Road No. 316A, Trapeang Bon and  Prey Kokir  Villages, Prey Kokir  Commune, Chantrea District, </t>
        </is>
      </c>
    </row>
    <row r="3" ht="25.5" customHeight="1">
      <c r="A3" s="3" t="inlineStr">
        <is>
          <t>Svay Rieng Province, Kingdom of Cambodia.</t>
        </is>
      </c>
    </row>
    <row r="4" ht="25.5" customHeight="1">
      <c r="A4" s="2" t="inlineStr">
        <is>
          <t>VAT:L001-901903209</t>
        </is>
      </c>
    </row>
    <row r="5" ht="25.5" customHeight="1">
      <c r="A5" s="4" t="inlineStr">
        <is>
          <t>Tel: +855   975910636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54" customHeight="1">
      <c r="A6" s="6" t="inlineStr">
        <is>
          <t>PACKING LIST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 ht="18" customHeight="1">
      <c r="I7" s="38" t="inlineStr">
        <is>
          <t>Ref No.:</t>
        </is>
      </c>
      <c r="J7" s="8" t="inlineStr">
        <is>
          <t>CLF2026-266</t>
        </is>
      </c>
    </row>
    <row r="8" ht="30" customHeight="1">
      <c r="A8" s="9" t="inlineStr">
        <is>
          <t>EXPORTER:</t>
        </is>
      </c>
      <c r="B8" s="14" t="inlineStr">
        <is>
          <t>CALIFOR UPHOLSTERY MATERIALS CO., LTD.</t>
        </is>
      </c>
      <c r="I8" s="13" t="inlineStr">
        <is>
          <t>INVOICE NO :</t>
        </is>
      </c>
      <c r="J8" s="13" t="inlineStr">
        <is>
          <t>CLW26029</t>
        </is>
      </c>
    </row>
    <row r="9" ht="21" customHeight="1">
      <c r="B9" s="39" t="inlineStr">
        <is>
          <t>XIN BAVET SEZ, Road No. 316A, Trapeang Bon and Prey Kokir Villages,</t>
        </is>
      </c>
      <c r="I9" s="13" t="inlineStr">
        <is>
          <t>Date:</t>
        </is>
      </c>
      <c r="J9" s="12" t="inlineStr">
        <is>
          <t>2026-07-23 00:00:00</t>
        </is>
      </c>
    </row>
    <row r="10" ht="22.5" customHeight="1">
      <c r="B10" s="39" t="inlineStr">
        <is>
          <t>Prey Kokir Commune, Chantrea District,Svay Rieng Province, Kingdom of Cambodia</t>
        </is>
      </c>
      <c r="I10" s="13">
        <f>Invoice!G10</f>
        <v/>
      </c>
      <c r="J10" s="13" t="inlineStr">
        <is>
          <t>BAVET</t>
        </is>
      </c>
    </row>
    <row r="11" ht="20.25" customHeight="1">
      <c r="B11" s="39" t="inlineStr">
        <is>
          <t>Tel: +855   975910636</t>
        </is>
      </c>
      <c r="I11" s="13" t="inlineStr">
        <is>
          <t>ETD：</t>
        </is>
      </c>
      <c r="J11" s="12">
        <f>J9</f>
        <v/>
      </c>
    </row>
    <row r="12" ht="20.1" customHeight="1">
      <c r="I12" s="13" t="inlineStr">
        <is>
          <t>ETA:</t>
        </is>
      </c>
      <c r="J12" s="12">
        <f>J11+1</f>
        <v/>
      </c>
    </row>
    <row r="13" ht="25.5" customHeight="1">
      <c r="A13" s="15" t="inlineStr">
        <is>
          <t>CONSIGNEE :</t>
        </is>
      </c>
      <c r="B13" s="40" t="inlineStr">
        <is>
          <t>Wanek Furniture Co., LTD</t>
        </is>
      </c>
    </row>
    <row r="14" ht="25.5" customHeight="1">
      <c r="B14" s="41" t="inlineStr">
        <is>
          <t>Lot D_5A_CN, D_5C_CN, D_5E_CN, My Phuoc 3 Industrial Park, Thoi Hoa Ward, Ho Chi Minh City, Vietnam.</t>
        </is>
      </c>
    </row>
    <row r="15" ht="17.25" customHeight="1">
      <c r="B15" s="38" t="inlineStr">
        <is>
          <t>P+84 650 3655 200 EXT:7074 MS EMILY(C&amp;L)/MS DOROTHY(CR) EXT:7036 MS JANE (PURCHASING)</t>
        </is>
      </c>
    </row>
    <row r="16" ht="27.75" customHeight="1">
      <c r="A16" s="42" t="inlineStr">
        <is>
          <t xml:space="preserve">SHIP: </t>
        </is>
      </c>
      <c r="B16" s="39" t="inlineStr">
        <is>
          <t>BY TRUCK FROM BAVET, SVAY RIENG, CAMBODIA TO HO CHI MINH, VIETNAM.</t>
        </is>
      </c>
    </row>
    <row r="17"/>
    <row r="18" ht="31.15" customHeight="1">
      <c r="A18" s="21" t="inlineStr">
        <is>
          <t>Mark &amp; Nº</t>
        </is>
      </c>
      <c r="B18" s="21" t="inlineStr">
        <is>
          <t>Pallet
NO.</t>
        </is>
      </c>
      <c r="C18" s="21" t="inlineStr">
        <is>
          <t>P.O Nº</t>
        </is>
      </c>
      <c r="D18" s="21" t="inlineStr">
        <is>
          <t>ITEM Nº</t>
        </is>
      </c>
      <c r="E18" s="21" t="inlineStr">
        <is>
          <t>Description</t>
        </is>
      </c>
      <c r="F18" s="24" t="inlineStr">
        <is>
          <t>Quantity</t>
        </is>
      </c>
      <c r="G18" s="22" t="n"/>
      <c r="H18" s="23" t="inlineStr">
        <is>
          <t>N.W
(kgs)</t>
        </is>
      </c>
      <c r="I18" s="23" t="inlineStr">
        <is>
          <t>G.W
(kgs)</t>
        </is>
      </c>
      <c r="J18" s="23" t="inlineStr">
        <is>
          <t>CBM</t>
        </is>
      </c>
    </row>
    <row r="19" ht="31.15" customHeight="1">
      <c r="A19" s="22" t="n"/>
      <c r="B19" s="22" t="n"/>
      <c r="C19" s="22" t="n"/>
      <c r="D19" s="22" t="n"/>
      <c r="E19" s="22" t="n"/>
      <c r="F19" s="43" t="inlineStr">
        <is>
          <t>PCS</t>
        </is>
      </c>
      <c r="G19" s="44" t="inlineStr">
        <is>
          <t>SF</t>
        </is>
      </c>
      <c r="H19" s="22" t="n"/>
      <c r="I19" s="22" t="n"/>
      <c r="J19" s="22" t="n"/>
    </row>
    <row r="20" ht="31.15" customHeight="1">
      <c r="A20" s="25" t="inlineStr">
        <is>
          <t>VENDOR#:</t>
        </is>
      </c>
      <c r="B20" s="26" t="inlineStr">
        <is>
          <t>1-26</t>
        </is>
      </c>
      <c r="C20" s="26" t="n">
        <v>9000994916</v>
      </c>
      <c r="D20" s="26" t="inlineStr">
        <is>
          <t>01.10.U756061</t>
        </is>
      </c>
      <c r="E20" s="26" t="n"/>
      <c r="F20" s="45" t="n">
        <v>125</v>
      </c>
      <c r="G20" s="46" t="n">
        <v>6617.4</v>
      </c>
      <c r="H20" s="28" t="n">
        <v>501.938</v>
      </c>
      <c r="I20" s="28" t="n">
        <v>545.5426</v>
      </c>
      <c r="J20" s="28" t="n">
        <v>1.8035</v>
      </c>
    </row>
    <row r="21" ht="31.15" customHeight="1">
      <c r="A21" s="25" t="inlineStr">
        <is>
          <t>CASE QTY:</t>
        </is>
      </c>
      <c r="B21" s="26" t="n"/>
      <c r="C21" s="26" t="n">
        <v>9000994916</v>
      </c>
      <c r="D21" s="26" t="inlineStr">
        <is>
          <t>01.10.U756061</t>
        </is>
      </c>
      <c r="E21" s="26" t="n"/>
      <c r="F21" s="45" t="n">
        <v>4</v>
      </c>
      <c r="G21" s="46" t="n">
        <v>219.4</v>
      </c>
      <c r="H21" s="28" t="n">
        <v>16.062</v>
      </c>
      <c r="I21" s="28" t="n">
        <v>17.4574</v>
      </c>
      <c r="J21" s="28" t="n">
        <v>0.0577</v>
      </c>
    </row>
    <row r="22" ht="31.15" customHeight="1">
      <c r="A22" s="25" t="inlineStr">
        <is>
          <t>MADE IN CAMBODIA</t>
        </is>
      </c>
      <c r="B22" s="26" t="inlineStr">
        <is>
          <t>2-26</t>
        </is>
      </c>
      <c r="C22" s="26" t="n">
        <v>9000994916</v>
      </c>
      <c r="D22" s="26" t="inlineStr">
        <is>
          <t>01.10.U756061</t>
        </is>
      </c>
      <c r="E22" s="26" t="n"/>
      <c r="F22" s="45" t="n">
        <v>98</v>
      </c>
      <c r="G22" s="46" t="n">
        <v>5425.4</v>
      </c>
      <c r="H22" s="28" t="n">
        <v>421</v>
      </c>
      <c r="I22" s="28" t="n">
        <v>466</v>
      </c>
      <c r="J22" s="28" t="n">
        <v>1.7028</v>
      </c>
    </row>
    <row r="23" ht="31.15" customHeight="1">
      <c r="A23" s="25" t="n"/>
      <c r="B23" s="26" t="inlineStr">
        <is>
          <t>3-26</t>
        </is>
      </c>
      <c r="C23" s="26" t="n">
        <v>9000994916</v>
      </c>
      <c r="D23" s="26" t="inlineStr">
        <is>
          <t>01.10.U756061</t>
        </is>
      </c>
      <c r="E23" s="26" t="n"/>
      <c r="F23" s="45" t="n">
        <v>195</v>
      </c>
      <c r="G23" s="46" t="n">
        <v>10658.2</v>
      </c>
      <c r="H23" s="28" t="n">
        <v>830.5</v>
      </c>
      <c r="I23" s="28" t="n">
        <v>875.5</v>
      </c>
      <c r="J23" s="28" t="n">
        <v>2.4948</v>
      </c>
    </row>
    <row r="24" ht="31.15" customHeight="1">
      <c r="A24" s="25" t="n"/>
      <c r="B24" s="26" t="inlineStr">
        <is>
          <t>4-26</t>
        </is>
      </c>
      <c r="C24" s="26" t="n">
        <v>9000994916</v>
      </c>
      <c r="D24" s="26" t="inlineStr">
        <is>
          <t>01.10.U756061</t>
        </is>
      </c>
      <c r="E24" s="26" t="n"/>
      <c r="F24" s="45" t="n">
        <v>185</v>
      </c>
      <c r="G24" s="46" t="n">
        <v>10157.7</v>
      </c>
      <c r="H24" s="28" t="n">
        <v>792</v>
      </c>
      <c r="I24" s="28" t="n">
        <v>837</v>
      </c>
      <c r="J24" s="28" t="n">
        <v>2.574</v>
      </c>
    </row>
    <row r="25" ht="31.15" customHeight="1">
      <c r="A25" s="25" t="n"/>
      <c r="B25" s="26" t="inlineStr">
        <is>
          <t>5-26</t>
        </is>
      </c>
      <c r="C25" s="26" t="n">
        <v>9000994916</v>
      </c>
      <c r="D25" s="26" t="inlineStr">
        <is>
          <t>01.10.U756061</t>
        </is>
      </c>
      <c r="E25" s="26" t="n"/>
      <c r="F25" s="45" t="n">
        <v>112</v>
      </c>
      <c r="G25" s="46" t="n">
        <v>6055.7</v>
      </c>
      <c r="H25" s="28" t="n">
        <v>445.1799</v>
      </c>
      <c r="I25" s="28" t="n">
        <v>481.4388</v>
      </c>
      <c r="J25" s="28" t="n">
        <v>1.723</v>
      </c>
    </row>
    <row r="26" ht="31.15" customHeight="1">
      <c r="A26" s="25" t="n"/>
      <c r="B26" s="26" t="n"/>
      <c r="C26" s="26" t="n">
        <v>9000994916</v>
      </c>
      <c r="D26" s="26" t="inlineStr">
        <is>
          <t>01.10.U756061</t>
        </is>
      </c>
      <c r="E26" s="26" t="n"/>
      <c r="F26" s="45" t="n">
        <v>27</v>
      </c>
      <c r="G26" s="46" t="n">
        <v>1083</v>
      </c>
      <c r="H26" s="28" t="n">
        <v>107.3201</v>
      </c>
      <c r="I26" s="28" t="n">
        <v>116.0612</v>
      </c>
      <c r="J26" s="28" t="n">
        <v>0.4154</v>
      </c>
    </row>
    <row r="27" ht="31.15" customHeight="1">
      <c r="A27" s="25" t="n"/>
      <c r="B27" s="26" t="inlineStr">
        <is>
          <t>6-26</t>
        </is>
      </c>
      <c r="C27" s="26" t="n">
        <v>9001011311</v>
      </c>
      <c r="D27" s="26" t="inlineStr">
        <is>
          <t>01.10.U756051</t>
        </is>
      </c>
      <c r="E27" s="26" t="n"/>
      <c r="F27" s="45" t="n">
        <v>98</v>
      </c>
      <c r="G27" s="46" t="n">
        <v>5095.7</v>
      </c>
      <c r="H27" s="28" t="n">
        <v>390.0202</v>
      </c>
      <c r="I27" s="28" t="n">
        <v>434.5657</v>
      </c>
      <c r="J27" s="28" t="n">
        <v>1.8032</v>
      </c>
    </row>
    <row r="28" ht="31.15" customHeight="1">
      <c r="A28" s="25" t="n"/>
      <c r="B28" s="26" t="n"/>
      <c r="C28" s="26" t="n">
        <v>9001011311</v>
      </c>
      <c r="D28" s="26" t="inlineStr">
        <is>
          <t>01.10.U756051</t>
        </is>
      </c>
      <c r="E28" s="26" t="n"/>
      <c r="F28" s="45" t="n">
        <v>1</v>
      </c>
      <c r="G28" s="46" t="n">
        <v>40.5</v>
      </c>
      <c r="H28" s="28" t="n">
        <v>3.9798</v>
      </c>
      <c r="I28" s="28" t="n">
        <v>4.4343</v>
      </c>
      <c r="J28" s="28" t="n">
        <v>0.0184</v>
      </c>
    </row>
    <row r="29" ht="31.15" customHeight="1">
      <c r="A29" s="25" t="n"/>
      <c r="B29" s="26" t="inlineStr">
        <is>
          <t>7-26</t>
        </is>
      </c>
      <c r="C29" s="26" t="n">
        <v>9000896339</v>
      </c>
      <c r="D29" s="26" t="inlineStr">
        <is>
          <t>01.10.O6508</t>
        </is>
      </c>
      <c r="E29" s="26" t="n"/>
      <c r="F29" s="45" t="n">
        <v>73</v>
      </c>
      <c r="G29" s="46" t="n">
        <v>3674.7</v>
      </c>
      <c r="H29" s="28" t="n">
        <v>332.4752</v>
      </c>
      <c r="I29" s="28" t="n">
        <v>365</v>
      </c>
      <c r="J29" s="28" t="n">
        <v>1.3166</v>
      </c>
    </row>
    <row r="30" ht="31.15" customHeight="1">
      <c r="A30" s="25" t="n"/>
      <c r="B30" s="26" t="n"/>
      <c r="C30" s="26" t="n">
        <v>9000896339</v>
      </c>
      <c r="D30" s="26" t="inlineStr">
        <is>
          <t>01.10.O6508</t>
        </is>
      </c>
      <c r="E30" s="26" t="n"/>
      <c r="F30" s="45" t="n">
        <v>28</v>
      </c>
      <c r="G30" s="46" t="n">
        <v>1077.3</v>
      </c>
      <c r="H30" s="28" t="n">
        <v>127.5248</v>
      </c>
      <c r="I30" s="28" t="n">
        <v>140</v>
      </c>
      <c r="J30" s="28" t="n">
        <v>0.505</v>
      </c>
    </row>
    <row r="31" ht="31.15" customHeight="1">
      <c r="A31" s="25" t="n"/>
      <c r="B31" s="26" t="inlineStr">
        <is>
          <t>8-26</t>
        </is>
      </c>
      <c r="C31" s="26" t="n">
        <v>9000999234</v>
      </c>
      <c r="D31" s="26" t="inlineStr">
        <is>
          <t>01.10.U528062-K</t>
        </is>
      </c>
      <c r="E31" s="26" t="n"/>
      <c r="F31" s="45" t="n">
        <v>162</v>
      </c>
      <c r="G31" s="46" t="n">
        <v>8876.6</v>
      </c>
      <c r="H31" s="28" t="n">
        <v>783.4820999999999</v>
      </c>
      <c r="I31" s="28" t="n">
        <v>826.875</v>
      </c>
      <c r="J31" s="28" t="n">
        <v>2.4439</v>
      </c>
    </row>
    <row r="32" ht="31.15" customHeight="1">
      <c r="A32" s="25" t="n"/>
      <c r="B32" s="26" t="n"/>
      <c r="C32" s="26" t="n">
        <v>9000999234</v>
      </c>
      <c r="D32" s="26" t="inlineStr">
        <is>
          <t>01.10.U528062-K</t>
        </is>
      </c>
      <c r="E32" s="26" t="n"/>
      <c r="F32" s="45" t="n">
        <v>6</v>
      </c>
      <c r="G32" s="46" t="n">
        <v>239.7</v>
      </c>
      <c r="H32" s="28" t="n">
        <v>29.0179</v>
      </c>
      <c r="I32" s="28" t="n">
        <v>30.625</v>
      </c>
      <c r="J32" s="28" t="n">
        <v>0.0905</v>
      </c>
    </row>
    <row r="33" ht="31.15" customHeight="1">
      <c r="A33" s="25" t="n"/>
      <c r="B33" s="26" t="inlineStr">
        <is>
          <t>9-26</t>
        </is>
      </c>
      <c r="C33" s="26" t="n">
        <v>9000997236</v>
      </c>
      <c r="D33" s="26" t="inlineStr">
        <is>
          <t>01.10.U562032-K</t>
        </is>
      </c>
      <c r="E33" s="26" t="n"/>
      <c r="F33" s="45" t="n">
        <v>81</v>
      </c>
      <c r="G33" s="46" t="n">
        <v>4772</v>
      </c>
      <c r="H33" s="28" t="n">
        <v>450</v>
      </c>
      <c r="I33" s="28" t="n">
        <v>460.8</v>
      </c>
      <c r="J33" s="28" t="n">
        <v>2.2097</v>
      </c>
    </row>
    <row r="34" ht="31.15" customHeight="1">
      <c r="A34" s="25" t="n"/>
      <c r="B34" s="26" t="n"/>
      <c r="C34" s="26" t="n">
        <v>9000997236</v>
      </c>
      <c r="D34" s="26" t="inlineStr">
        <is>
          <t>01.10.U562032-K</t>
        </is>
      </c>
      <c r="E34" s="26" t="n"/>
      <c r="F34" s="45" t="n">
        <v>6</v>
      </c>
      <c r="G34" s="46" t="n">
        <v>237.2</v>
      </c>
      <c r="H34" s="28" t="n">
        <v>33.3333</v>
      </c>
      <c r="I34" s="28" t="n">
        <v>34.1333</v>
      </c>
      <c r="J34" s="28" t="n">
        <v>0.1637</v>
      </c>
    </row>
    <row r="35" ht="31.15" customHeight="1">
      <c r="A35" s="25" t="n"/>
      <c r="B35" s="26" t="n"/>
      <c r="C35" s="26" t="n">
        <v>9000997236</v>
      </c>
      <c r="D35" s="26" t="inlineStr">
        <is>
          <t>01.10.U562032-K</t>
        </is>
      </c>
      <c r="E35" s="26" t="n"/>
      <c r="F35" s="45" t="n">
        <v>3</v>
      </c>
      <c r="G35" s="46" t="n">
        <v>118.4</v>
      </c>
      <c r="H35" s="28" t="n">
        <v>16.6667</v>
      </c>
      <c r="I35" s="28" t="n">
        <v>17.0667</v>
      </c>
      <c r="J35" s="28" t="n">
        <v>0.0818</v>
      </c>
    </row>
    <row r="36" ht="31.15" customHeight="1">
      <c r="A36" s="25" t="n"/>
      <c r="B36" s="26" t="inlineStr">
        <is>
          <t>10-26</t>
        </is>
      </c>
      <c r="C36" s="26" t="n">
        <v>9001013706</v>
      </c>
      <c r="D36" s="26" t="inlineStr">
        <is>
          <t>01.10.U741023</t>
        </is>
      </c>
      <c r="E36" s="26" t="n"/>
      <c r="F36" s="45" t="n">
        <v>21</v>
      </c>
      <c r="G36" s="46" t="n">
        <v>1227.3</v>
      </c>
      <c r="H36" s="28" t="n">
        <v>122.5</v>
      </c>
      <c r="I36" s="28" t="n">
        <v>167.5</v>
      </c>
      <c r="J36" s="28" t="n">
        <v>1.2672</v>
      </c>
    </row>
    <row r="37" ht="31.15" customHeight="1">
      <c r="A37" s="25" t="n"/>
      <c r="B37" s="26" t="inlineStr">
        <is>
          <t>11-26</t>
        </is>
      </c>
      <c r="C37" s="26" t="n">
        <v>9001013706</v>
      </c>
      <c r="D37" s="26" t="inlineStr">
        <is>
          <t>01.10.U741023</t>
        </is>
      </c>
      <c r="E37" s="26" t="n"/>
      <c r="F37" s="45" t="n">
        <v>22</v>
      </c>
      <c r="G37" s="46" t="n">
        <v>1254.1</v>
      </c>
      <c r="H37" s="28" t="n">
        <v>129</v>
      </c>
      <c r="I37" s="28" t="n">
        <v>174</v>
      </c>
      <c r="J37" s="28" t="n">
        <v>1.188</v>
      </c>
    </row>
    <row r="38" ht="31.15" customHeight="1">
      <c r="A38" s="25" t="n"/>
      <c r="B38" s="26" t="inlineStr">
        <is>
          <t>12-26</t>
        </is>
      </c>
      <c r="C38" s="26" t="n">
        <v>9000988644</v>
      </c>
      <c r="D38" s="26" t="inlineStr">
        <is>
          <t>01.10.L2931</t>
        </is>
      </c>
      <c r="E38" s="26" t="n"/>
      <c r="F38" s="45" t="n">
        <v>70</v>
      </c>
      <c r="G38" s="46" t="n">
        <v>3444.4</v>
      </c>
      <c r="H38" s="28" t="n">
        <v>363.5</v>
      </c>
      <c r="I38" s="28" t="n">
        <v>408.5</v>
      </c>
      <c r="J38" s="28" t="n">
        <v>2.4552</v>
      </c>
    </row>
    <row r="39" ht="31.15" customHeight="1">
      <c r="A39" s="25" t="n"/>
      <c r="B39" s="26" t="inlineStr">
        <is>
          <t>13-26</t>
        </is>
      </c>
      <c r="C39" s="26" t="n">
        <v>9000988644</v>
      </c>
      <c r="D39" s="26" t="inlineStr">
        <is>
          <t>01.10.L2931</t>
        </is>
      </c>
      <c r="E39" s="26" t="n"/>
      <c r="F39" s="45" t="n">
        <v>105</v>
      </c>
      <c r="G39" s="46" t="n">
        <v>5215.6</v>
      </c>
      <c r="H39" s="28" t="n">
        <v>377.087</v>
      </c>
      <c r="I39" s="28" t="n">
        <v>418.1739</v>
      </c>
      <c r="J39" s="28" t="n">
        <v>1.627</v>
      </c>
    </row>
    <row r="40" ht="31.15" customHeight="1">
      <c r="A40" s="25" t="n"/>
      <c r="B40" s="26" t="n"/>
      <c r="C40" s="26" t="n">
        <v>9000988644</v>
      </c>
      <c r="D40" s="26" t="inlineStr">
        <is>
          <t>01.10.L2931</t>
        </is>
      </c>
      <c r="E40" s="26" t="n"/>
      <c r="F40" s="45" t="n">
        <v>10</v>
      </c>
      <c r="G40" s="46" t="n">
        <v>406.7</v>
      </c>
      <c r="H40" s="28" t="n">
        <v>35.913</v>
      </c>
      <c r="I40" s="28" t="n">
        <v>39.8261</v>
      </c>
      <c r="J40" s="28" t="n">
        <v>0.155</v>
      </c>
    </row>
    <row r="41" ht="31.15" customHeight="1">
      <c r="A41" s="29" t="n"/>
      <c r="B41" s="21" t="inlineStr">
        <is>
          <t>(HS.CODE: 4107.12.00)</t>
        </is>
      </c>
      <c r="C41" s="21" t="n"/>
      <c r="D41" s="21" t="n"/>
      <c r="E41" s="21" t="n"/>
      <c r="F41" s="43" t="n"/>
      <c r="G41" s="44" t="n"/>
      <c r="H41" s="23" t="n"/>
      <c r="I41" s="23" t="n"/>
      <c r="J41" s="23" t="n"/>
    </row>
    <row r="42" ht="31.15" customHeight="1">
      <c r="A42" s="30" t="n"/>
      <c r="B42" s="21" t="inlineStr">
        <is>
          <t>TOTAL OF:</t>
        </is>
      </c>
      <c r="C42" s="21" t="n"/>
      <c r="D42" s="21" t="n"/>
      <c r="E42" s="21" t="inlineStr">
        <is>
          <t>13 PALLETS</t>
        </is>
      </c>
      <c r="F42" s="43">
        <f>SUM(F20:F40)</f>
        <v/>
      </c>
      <c r="G42" s="44">
        <f>SUM(G20:G40)</f>
        <v/>
      </c>
      <c r="H42" s="23">
        <f>SUM(H20:H40)</f>
        <v/>
      </c>
      <c r="I42" s="23">
        <f>SUM(I20:I40)</f>
        <v/>
      </c>
      <c r="J42" s="23">
        <f>SUM(J20:J40)</f>
        <v/>
      </c>
    </row>
    <row r="43"/>
    <row r="44" ht="31.15" customHeight="1">
      <c r="A44" s="21" t="inlineStr">
        <is>
          <t>Mark &amp; Nº</t>
        </is>
      </c>
      <c r="B44" s="21" t="inlineStr">
        <is>
          <t>Pallet
NO.</t>
        </is>
      </c>
      <c r="C44" s="21" t="inlineStr">
        <is>
          <t>P.O Nº</t>
        </is>
      </c>
      <c r="D44" s="21" t="inlineStr">
        <is>
          <t>ITEM Nº</t>
        </is>
      </c>
      <c r="E44" s="21" t="inlineStr">
        <is>
          <t>Description</t>
        </is>
      </c>
      <c r="F44" s="24" t="inlineStr">
        <is>
          <t>Quantity</t>
        </is>
      </c>
      <c r="G44" s="22" t="n"/>
      <c r="H44" s="23" t="inlineStr">
        <is>
          <t>N.W
(kgs)</t>
        </is>
      </c>
      <c r="I44" s="23" t="inlineStr">
        <is>
          <t>G.W
(kgs)</t>
        </is>
      </c>
      <c r="J44" s="23" t="inlineStr">
        <is>
          <t>CBM</t>
        </is>
      </c>
    </row>
    <row r="45" ht="31.15" customHeight="1">
      <c r="A45" s="22" t="n"/>
      <c r="B45" s="22" t="n"/>
      <c r="C45" s="22" t="n"/>
      <c r="D45" s="22" t="n"/>
      <c r="E45" s="22" t="n"/>
      <c r="F45" s="43" t="inlineStr">
        <is>
          <t>PCS</t>
        </is>
      </c>
      <c r="G45" s="44" t="inlineStr">
        <is>
          <t>SF</t>
        </is>
      </c>
      <c r="H45" s="22" t="n"/>
      <c r="I45" s="22" t="n"/>
      <c r="J45" s="22" t="n"/>
    </row>
    <row r="46" ht="31.15" customHeight="1">
      <c r="A46" s="25" t="inlineStr">
        <is>
          <t>VENDOR#:</t>
        </is>
      </c>
      <c r="B46" s="26" t="inlineStr">
        <is>
          <t>14-26</t>
        </is>
      </c>
      <c r="C46" s="26" t="n">
        <v>9000994916</v>
      </c>
      <c r="D46" s="26" t="inlineStr">
        <is>
          <t>01.10.U756061</t>
        </is>
      </c>
      <c r="E46" s="26" t="n"/>
      <c r="F46" s="45" t="n">
        <v>125</v>
      </c>
      <c r="G46" s="46" t="n">
        <v>6617.4</v>
      </c>
      <c r="H46" s="28" t="n">
        <v>501.938</v>
      </c>
      <c r="I46" s="28" t="n">
        <v>545.5426</v>
      </c>
      <c r="J46" s="28" t="n">
        <v>1.8035</v>
      </c>
    </row>
    <row r="47" ht="31.15" customHeight="1">
      <c r="A47" s="25" t="inlineStr">
        <is>
          <t>CASE QTY:</t>
        </is>
      </c>
      <c r="B47" s="26" t="n"/>
      <c r="C47" s="26" t="n">
        <v>9000994916</v>
      </c>
      <c r="D47" s="26" t="inlineStr">
        <is>
          <t>01.10.U756061</t>
        </is>
      </c>
      <c r="E47" s="26" t="n"/>
      <c r="F47" s="45" t="n">
        <v>4</v>
      </c>
      <c r="G47" s="46" t="n">
        <v>219.4</v>
      </c>
      <c r="H47" s="28" t="n">
        <v>16.062</v>
      </c>
      <c r="I47" s="28" t="n">
        <v>17.4574</v>
      </c>
      <c r="J47" s="28" t="n">
        <v>0.0577</v>
      </c>
    </row>
    <row r="48" ht="31.15" customHeight="1">
      <c r="A48" s="25" t="inlineStr">
        <is>
          <t>MADE IN CAMBODIA</t>
        </is>
      </c>
      <c r="B48" s="26" t="inlineStr">
        <is>
          <t>15-26</t>
        </is>
      </c>
      <c r="C48" s="26" t="n">
        <v>9000994916</v>
      </c>
      <c r="D48" s="26" t="inlineStr">
        <is>
          <t>01.10.U756061</t>
        </is>
      </c>
      <c r="E48" s="26" t="n"/>
      <c r="F48" s="45" t="n">
        <v>98</v>
      </c>
      <c r="G48" s="46" t="n">
        <v>5425.4</v>
      </c>
      <c r="H48" s="28" t="n">
        <v>421</v>
      </c>
      <c r="I48" s="28" t="n">
        <v>466</v>
      </c>
      <c r="J48" s="28" t="n">
        <v>1.7028</v>
      </c>
    </row>
    <row r="49" ht="31.15" customHeight="1">
      <c r="A49" s="25" t="n"/>
      <c r="B49" s="26" t="inlineStr">
        <is>
          <t>16-26</t>
        </is>
      </c>
      <c r="C49" s="26" t="n">
        <v>9000994916</v>
      </c>
      <c r="D49" s="26" t="inlineStr">
        <is>
          <t>01.10.U756061</t>
        </is>
      </c>
      <c r="E49" s="26" t="n"/>
      <c r="F49" s="45" t="n">
        <v>195</v>
      </c>
      <c r="G49" s="46" t="n">
        <v>10658.2</v>
      </c>
      <c r="H49" s="28" t="n">
        <v>830.5</v>
      </c>
      <c r="I49" s="28" t="n">
        <v>875.5</v>
      </c>
      <c r="J49" s="28" t="n">
        <v>2.4948</v>
      </c>
    </row>
    <row r="50" ht="31.15" customHeight="1">
      <c r="A50" s="25" t="n"/>
      <c r="B50" s="26" t="inlineStr">
        <is>
          <t>17-26</t>
        </is>
      </c>
      <c r="C50" s="26" t="n">
        <v>9000994916</v>
      </c>
      <c r="D50" s="26" t="inlineStr">
        <is>
          <t>01.10.U756061</t>
        </is>
      </c>
      <c r="E50" s="26" t="n"/>
      <c r="F50" s="45" t="n">
        <v>185</v>
      </c>
      <c r="G50" s="46" t="n">
        <v>10157.7</v>
      </c>
      <c r="H50" s="28" t="n">
        <v>792</v>
      </c>
      <c r="I50" s="28" t="n">
        <v>837</v>
      </c>
      <c r="J50" s="28" t="n">
        <v>2.574</v>
      </c>
    </row>
    <row r="51" ht="31.15" customHeight="1">
      <c r="A51" s="25" t="n"/>
      <c r="B51" s="26" t="inlineStr">
        <is>
          <t>18-26</t>
        </is>
      </c>
      <c r="C51" s="26" t="n">
        <v>9000994916</v>
      </c>
      <c r="D51" s="26" t="inlineStr">
        <is>
          <t>01.10.U756061</t>
        </is>
      </c>
      <c r="E51" s="26" t="n"/>
      <c r="F51" s="45" t="n">
        <v>112</v>
      </c>
      <c r="G51" s="46" t="n">
        <v>6055.7</v>
      </c>
      <c r="H51" s="28" t="n">
        <v>445.1799</v>
      </c>
      <c r="I51" s="28" t="n">
        <v>481.4388</v>
      </c>
      <c r="J51" s="28" t="n">
        <v>1.723</v>
      </c>
    </row>
    <row r="52" ht="31.15" customHeight="1">
      <c r="A52" s="25" t="n"/>
      <c r="B52" s="26" t="n"/>
      <c r="C52" s="26" t="n">
        <v>9000994916</v>
      </c>
      <c r="D52" s="26" t="inlineStr">
        <is>
          <t>01.10.U756061</t>
        </is>
      </c>
      <c r="E52" s="26" t="n"/>
      <c r="F52" s="45" t="n">
        <v>27</v>
      </c>
      <c r="G52" s="46" t="n">
        <v>1083</v>
      </c>
      <c r="H52" s="28" t="n">
        <v>107.3201</v>
      </c>
      <c r="I52" s="28" t="n">
        <v>116.0612</v>
      </c>
      <c r="J52" s="28" t="n">
        <v>0.4154</v>
      </c>
    </row>
    <row r="53" ht="31.15" customHeight="1">
      <c r="A53" s="25" t="n"/>
      <c r="B53" s="26" t="inlineStr">
        <is>
          <t>19-26</t>
        </is>
      </c>
      <c r="C53" s="26" t="n">
        <v>9001011311</v>
      </c>
      <c r="D53" s="26" t="inlineStr">
        <is>
          <t>01.10.U756051</t>
        </is>
      </c>
      <c r="E53" s="26" t="n"/>
      <c r="F53" s="45" t="n">
        <v>98</v>
      </c>
      <c r="G53" s="46" t="n">
        <v>5095.7</v>
      </c>
      <c r="H53" s="28" t="n">
        <v>390.0202</v>
      </c>
      <c r="I53" s="28" t="n">
        <v>434.5657</v>
      </c>
      <c r="J53" s="28" t="n">
        <v>1.8032</v>
      </c>
    </row>
    <row r="54" ht="31.15" customHeight="1">
      <c r="A54" s="25" t="n"/>
      <c r="B54" s="26" t="n"/>
      <c r="C54" s="26" t="n">
        <v>9001011311</v>
      </c>
      <c r="D54" s="26" t="inlineStr">
        <is>
          <t>01.10.U756051</t>
        </is>
      </c>
      <c r="E54" s="26" t="n"/>
      <c r="F54" s="45" t="n">
        <v>1</v>
      </c>
      <c r="G54" s="46" t="n">
        <v>40.5</v>
      </c>
      <c r="H54" s="28" t="n">
        <v>3.9798</v>
      </c>
      <c r="I54" s="28" t="n">
        <v>4.4343</v>
      </c>
      <c r="J54" s="28" t="n">
        <v>0.0184</v>
      </c>
    </row>
    <row r="55" ht="31.15" customHeight="1">
      <c r="A55" s="25" t="n"/>
      <c r="B55" s="26" t="inlineStr">
        <is>
          <t>20-26</t>
        </is>
      </c>
      <c r="C55" s="26" t="n">
        <v>9000896339</v>
      </c>
      <c r="D55" s="26" t="inlineStr">
        <is>
          <t>01.10.O6508</t>
        </is>
      </c>
      <c r="E55" s="26" t="n"/>
      <c r="F55" s="45" t="n">
        <v>73</v>
      </c>
      <c r="G55" s="46" t="n">
        <v>3674.7</v>
      </c>
      <c r="H55" s="28" t="n">
        <v>332.4752</v>
      </c>
      <c r="I55" s="28" t="n">
        <v>365</v>
      </c>
      <c r="J55" s="28" t="n">
        <v>1.3166</v>
      </c>
    </row>
    <row r="56" ht="31.15" customHeight="1">
      <c r="A56" s="25" t="n"/>
      <c r="B56" s="26" t="n"/>
      <c r="C56" s="26" t="n">
        <v>9000896339</v>
      </c>
      <c r="D56" s="26" t="inlineStr">
        <is>
          <t>01.10.O6508</t>
        </is>
      </c>
      <c r="E56" s="26" t="n"/>
      <c r="F56" s="45" t="n">
        <v>28</v>
      </c>
      <c r="G56" s="46" t="n">
        <v>1077.3</v>
      </c>
      <c r="H56" s="28" t="n">
        <v>127.5248</v>
      </c>
      <c r="I56" s="28" t="n">
        <v>140</v>
      </c>
      <c r="J56" s="28" t="n">
        <v>0.505</v>
      </c>
    </row>
    <row r="57" ht="31.15" customHeight="1">
      <c r="A57" s="25" t="n"/>
      <c r="B57" s="26" t="inlineStr">
        <is>
          <t>21-26</t>
        </is>
      </c>
      <c r="C57" s="26" t="n">
        <v>9000999234</v>
      </c>
      <c r="D57" s="26" t="inlineStr">
        <is>
          <t>01.10.U528062-K</t>
        </is>
      </c>
      <c r="E57" s="26" t="n"/>
      <c r="F57" s="45" t="n">
        <v>162</v>
      </c>
      <c r="G57" s="46" t="n">
        <v>8876.6</v>
      </c>
      <c r="H57" s="28" t="n">
        <v>783.4820999999999</v>
      </c>
      <c r="I57" s="28" t="n">
        <v>826.875</v>
      </c>
      <c r="J57" s="28" t="n">
        <v>2.4439</v>
      </c>
    </row>
    <row r="58" ht="31.15" customHeight="1">
      <c r="A58" s="25" t="n"/>
      <c r="B58" s="26" t="n"/>
      <c r="C58" s="26" t="n">
        <v>9000999234</v>
      </c>
      <c r="D58" s="26" t="inlineStr">
        <is>
          <t>01.10.U528062-K</t>
        </is>
      </c>
      <c r="E58" s="26" t="n"/>
      <c r="F58" s="45" t="n">
        <v>6</v>
      </c>
      <c r="G58" s="46" t="n">
        <v>239.7</v>
      </c>
      <c r="H58" s="28" t="n">
        <v>29.0179</v>
      </c>
      <c r="I58" s="28" t="n">
        <v>30.625</v>
      </c>
      <c r="J58" s="28" t="n">
        <v>0.0905</v>
      </c>
    </row>
    <row r="59" ht="31.15" customHeight="1">
      <c r="A59" s="25" t="n"/>
      <c r="B59" s="26" t="inlineStr">
        <is>
          <t>22-26</t>
        </is>
      </c>
      <c r="C59" s="26" t="n">
        <v>9000997236</v>
      </c>
      <c r="D59" s="26" t="inlineStr">
        <is>
          <t>01.10.U562032-K</t>
        </is>
      </c>
      <c r="E59" s="26" t="n"/>
      <c r="F59" s="45" t="n">
        <v>81</v>
      </c>
      <c r="G59" s="46" t="n">
        <v>4772</v>
      </c>
      <c r="H59" s="28" t="n">
        <v>450</v>
      </c>
      <c r="I59" s="28" t="n">
        <v>460.8</v>
      </c>
      <c r="J59" s="28" t="n">
        <v>2.2097</v>
      </c>
    </row>
    <row r="60" ht="31.15" customHeight="1">
      <c r="A60" s="25" t="n"/>
      <c r="B60" s="26" t="n"/>
      <c r="C60" s="26" t="n">
        <v>9000997236</v>
      </c>
      <c r="D60" s="26" t="inlineStr">
        <is>
          <t>01.10.U562032-K</t>
        </is>
      </c>
      <c r="E60" s="26" t="n"/>
      <c r="F60" s="45" t="n">
        <v>6</v>
      </c>
      <c r="G60" s="46" t="n">
        <v>237.2</v>
      </c>
      <c r="H60" s="28" t="n">
        <v>33.3333</v>
      </c>
      <c r="I60" s="28" t="n">
        <v>34.1333</v>
      </c>
      <c r="J60" s="28" t="n">
        <v>0.1637</v>
      </c>
    </row>
    <row r="61" ht="31.15" customHeight="1">
      <c r="A61" s="25" t="n"/>
      <c r="B61" s="26" t="n"/>
      <c r="C61" s="26" t="n">
        <v>9000997236</v>
      </c>
      <c r="D61" s="26" t="inlineStr">
        <is>
          <t>01.10.U562032-K</t>
        </is>
      </c>
      <c r="E61" s="26" t="n"/>
      <c r="F61" s="45" t="n">
        <v>3</v>
      </c>
      <c r="G61" s="46" t="n">
        <v>118.4</v>
      </c>
      <c r="H61" s="28" t="n">
        <v>16.6667</v>
      </c>
      <c r="I61" s="28" t="n">
        <v>17.0667</v>
      </c>
      <c r="J61" s="28" t="n">
        <v>0.0818</v>
      </c>
    </row>
    <row r="62" ht="31.15" customHeight="1">
      <c r="A62" s="25" t="n"/>
      <c r="B62" s="26" t="inlineStr">
        <is>
          <t>23-26</t>
        </is>
      </c>
      <c r="C62" s="26" t="n">
        <v>9001013706</v>
      </c>
      <c r="D62" s="26" t="inlineStr">
        <is>
          <t>01.10.U741023</t>
        </is>
      </c>
      <c r="E62" s="26" t="n"/>
      <c r="F62" s="45" t="n">
        <v>21</v>
      </c>
      <c r="G62" s="46" t="n">
        <v>1227.3</v>
      </c>
      <c r="H62" s="28" t="n">
        <v>122.5</v>
      </c>
      <c r="I62" s="28" t="n">
        <v>167.5</v>
      </c>
      <c r="J62" s="28" t="n">
        <v>1.2672</v>
      </c>
    </row>
    <row r="63" ht="31.15" customHeight="1">
      <c r="A63" s="25" t="n"/>
      <c r="B63" s="26" t="inlineStr">
        <is>
          <t>24-26</t>
        </is>
      </c>
      <c r="C63" s="26" t="n">
        <v>9001013706</v>
      </c>
      <c r="D63" s="26" t="inlineStr">
        <is>
          <t>01.10.U741023</t>
        </is>
      </c>
      <c r="E63" s="26" t="n"/>
      <c r="F63" s="45" t="n">
        <v>22</v>
      </c>
      <c r="G63" s="46" t="n">
        <v>1254.1</v>
      </c>
      <c r="H63" s="28" t="n">
        <v>129</v>
      </c>
      <c r="I63" s="28" t="n">
        <v>174</v>
      </c>
      <c r="J63" s="28" t="n">
        <v>1.188</v>
      </c>
    </row>
    <row r="64" ht="31.15" customHeight="1">
      <c r="A64" s="25" t="n"/>
      <c r="B64" s="26" t="inlineStr">
        <is>
          <t>25-26</t>
        </is>
      </c>
      <c r="C64" s="26" t="n">
        <v>9000988644</v>
      </c>
      <c r="D64" s="26" t="inlineStr">
        <is>
          <t>01.10.L2931</t>
        </is>
      </c>
      <c r="E64" s="26" t="n"/>
      <c r="F64" s="45" t="n">
        <v>70</v>
      </c>
      <c r="G64" s="46" t="n">
        <v>3444.4</v>
      </c>
      <c r="H64" s="28" t="n">
        <v>363.5</v>
      </c>
      <c r="I64" s="28" t="n">
        <v>408.5</v>
      </c>
      <c r="J64" s="28" t="n">
        <v>2.4552</v>
      </c>
    </row>
    <row r="65" ht="31.15" customHeight="1">
      <c r="A65" s="25" t="n"/>
      <c r="B65" s="26" t="inlineStr">
        <is>
          <t>26-26</t>
        </is>
      </c>
      <c r="C65" s="26" t="n">
        <v>9000988644</v>
      </c>
      <c r="D65" s="26" t="inlineStr">
        <is>
          <t>01.10.L2931</t>
        </is>
      </c>
      <c r="E65" s="26" t="n"/>
      <c r="F65" s="45" t="n">
        <v>105</v>
      </c>
      <c r="G65" s="46" t="n">
        <v>5215.6</v>
      </c>
      <c r="H65" s="28" t="n">
        <v>377.087</v>
      </c>
      <c r="I65" s="28" t="n">
        <v>418.1739</v>
      </c>
      <c r="J65" s="28" t="n">
        <v>1.627</v>
      </c>
    </row>
    <row r="66" ht="31.15" customHeight="1">
      <c r="A66" s="25" t="n"/>
      <c r="B66" s="26" t="n"/>
      <c r="C66" s="26" t="n">
        <v>9000988644</v>
      </c>
      <c r="D66" s="26" t="inlineStr">
        <is>
          <t>01.10.L2931</t>
        </is>
      </c>
      <c r="E66" s="26" t="n"/>
      <c r="F66" s="45" t="n">
        <v>10</v>
      </c>
      <c r="G66" s="46" t="n">
        <v>406.7</v>
      </c>
      <c r="H66" s="28" t="n">
        <v>35.913</v>
      </c>
      <c r="I66" s="28" t="n">
        <v>39.8261</v>
      </c>
      <c r="J66" s="28" t="n">
        <v>0.155</v>
      </c>
    </row>
    <row r="67" ht="31.15" customHeight="1">
      <c r="A67" s="29" t="n"/>
      <c r="B67" s="21" t="inlineStr">
        <is>
          <t>(HS.CODE: 4107.12.00)</t>
        </is>
      </c>
      <c r="C67" s="21" t="n"/>
      <c r="D67" s="21" t="n"/>
      <c r="E67" s="21" t="n"/>
      <c r="F67" s="43" t="n"/>
      <c r="G67" s="44" t="n"/>
      <c r="H67" s="23" t="n"/>
      <c r="I67" s="23" t="n"/>
      <c r="J67" s="23" t="n"/>
    </row>
    <row r="68" ht="31.15" customHeight="1">
      <c r="A68" s="30" t="n"/>
      <c r="B68" s="21" t="inlineStr">
        <is>
          <t>TOTAL OF:</t>
        </is>
      </c>
      <c r="C68" s="21" t="n"/>
      <c r="D68" s="21" t="n"/>
      <c r="E68" s="21" t="inlineStr">
        <is>
          <t>13 PALLETS</t>
        </is>
      </c>
      <c r="F68" s="43">
        <f>SUM(F46:F66)</f>
        <v/>
      </c>
      <c r="G68" s="44">
        <f>SUM(G46:G66)</f>
        <v/>
      </c>
      <c r="H68" s="23">
        <f>SUM(H46:H66)</f>
        <v/>
      </c>
      <c r="I68" s="23">
        <f>SUM(I46:I66)</f>
        <v/>
      </c>
      <c r="J68" s="23">
        <f>SUM(J46:J66)</f>
        <v/>
      </c>
    </row>
    <row r="69" ht="31.15" customHeight="1">
      <c r="A69" s="47" t="n"/>
      <c r="B69" s="47" t="inlineStr">
        <is>
          <t>TOTAL OF:</t>
        </is>
      </c>
      <c r="C69" s="47" t="n"/>
      <c r="D69" s="47" t="n"/>
      <c r="E69" s="47" t="inlineStr">
        <is>
          <t>26 PALLETS</t>
        </is>
      </c>
      <c r="F69" s="48">
        <f>SUM(F20:F40,F46:F66)</f>
        <v/>
      </c>
      <c r="G69" s="49">
        <f>SUM(G20:G40,G46:G66)</f>
        <v/>
      </c>
      <c r="H69" s="50">
        <f>SUM(H20:H40,H46:H66)</f>
        <v/>
      </c>
      <c r="I69" s="50">
        <f>SUM(I20:I40,I46:I66)</f>
        <v/>
      </c>
      <c r="J69" s="50">
        <f>SUM(J20:J40,J46:J66)</f>
        <v/>
      </c>
    </row>
    <row r="70"/>
    <row r="71"/>
    <row r="72" ht="42" customHeight="1">
      <c r="A72" s="31" t="inlineStr">
        <is>
          <t>Country of Original Cambodia</t>
        </is>
      </c>
    </row>
    <row r="73" ht="49.5" customHeight="1">
      <c r="A73" s="32" t="inlineStr">
        <is>
          <t>Manufacture:</t>
        </is>
      </c>
      <c r="B73" s="33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</row>
    <row r="74" ht="44.1" customHeight="1">
      <c r="A74" s="34" t="inlineStr">
        <is>
          <t>BENEFICIARY BANK：BANK OF CHINA(HONG KONG)LIMITED PHNOM PENH BRANCH
                                          /BANK OF CHINA PHNOM PENH BRANCH</t>
        </is>
      </c>
    </row>
    <row r="75" ht="24.75" customHeight="1">
      <c r="A75" s="35" t="inlineStr">
        <is>
          <t>A/C NO:100001100764430</t>
        </is>
      </c>
    </row>
    <row r="76" ht="27" customHeight="1">
      <c r="A76" s="35" t="inlineStr">
        <is>
          <t>SWIFT CODE  ：BKCHKHPPXXX</t>
        </is>
      </c>
    </row>
    <row r="77" ht="51" customHeight="1">
      <c r="I77" s="36" t="inlineStr">
        <is>
          <t>CALIFOR UPHOLSTERY MATERIALS CO., LTD.</t>
        </is>
      </c>
    </row>
    <row r="78" ht="51" customHeight="1"/>
    <row r="79"/>
    <row r="80">
      <c r="I80" s="37" t="inlineStr">
        <is>
          <t>ZENG XUELI</t>
        </is>
      </c>
    </row>
  </sheetData>
  <mergeCells count="55">
    <mergeCell ref="B27:B28"/>
    <mergeCell ref="A5:J5"/>
    <mergeCell ref="B9:E9"/>
    <mergeCell ref="H44:H45"/>
    <mergeCell ref="J44:J45"/>
    <mergeCell ref="B67:D67"/>
    <mergeCell ref="B18:B19"/>
    <mergeCell ref="B15:E15"/>
    <mergeCell ref="B46:B47"/>
    <mergeCell ref="B33:B35"/>
    <mergeCell ref="A4:J4"/>
    <mergeCell ref="B10:E10"/>
    <mergeCell ref="B29:B30"/>
    <mergeCell ref="C44:C45"/>
    <mergeCell ref="E44:E45"/>
    <mergeCell ref="B39:B40"/>
    <mergeCell ref="B57:B58"/>
    <mergeCell ref="I18:I19"/>
    <mergeCell ref="F18:G18"/>
    <mergeCell ref="B16:E16"/>
    <mergeCell ref="E20:E40"/>
    <mergeCell ref="A18:A19"/>
    <mergeCell ref="A74:E74"/>
    <mergeCell ref="B44:B45"/>
    <mergeCell ref="B53:B54"/>
    <mergeCell ref="B59:B61"/>
    <mergeCell ref="A1:J1"/>
    <mergeCell ref="B65:B66"/>
    <mergeCell ref="D18:D19"/>
    <mergeCell ref="J18:J19"/>
    <mergeCell ref="B41:D41"/>
    <mergeCell ref="A6:J6"/>
    <mergeCell ref="B55:B56"/>
    <mergeCell ref="B11:E11"/>
    <mergeCell ref="B20:B21"/>
    <mergeCell ref="A76:J76"/>
    <mergeCell ref="H18:H19"/>
    <mergeCell ref="B14:E14"/>
    <mergeCell ref="A44:A45"/>
    <mergeCell ref="I44:I45"/>
    <mergeCell ref="A75:J75"/>
    <mergeCell ref="B8:E8"/>
    <mergeCell ref="B51:B52"/>
    <mergeCell ref="A72:E72"/>
    <mergeCell ref="B73:E73"/>
    <mergeCell ref="E18:E19"/>
    <mergeCell ref="B13:E13"/>
    <mergeCell ref="A3:J3"/>
    <mergeCell ref="E46:E66"/>
    <mergeCell ref="B25:B26"/>
    <mergeCell ref="A2:J2"/>
    <mergeCell ref="C18:C19"/>
    <mergeCell ref="D44:D45"/>
    <mergeCell ref="F44:G44"/>
    <mergeCell ref="B31:B32"/>
  </mergeCells>
  <printOptions horizontalCentered="1" verticalCentered="0"/>
  <pageMargins left="0.1" right="0.1" top="0.75" bottom="0.7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ref_no</t>
        </is>
      </c>
      <c r="B1" t="inlineStr">
        <is>
          <t>1</t>
        </is>
      </c>
    </row>
    <row r="2">
      <c r="A2" t="inlineStr">
        <is>
          <t>invoice_no</t>
        </is>
      </c>
      <c r="B2" t="inlineStr">
        <is>
          <t>best111</t>
        </is>
      </c>
    </row>
    <row r="3">
      <c r="A3" t="inlineStr">
        <is>
          <t>date</t>
        </is>
      </c>
      <c r="B3" s="51" t="n">
        <v>46228</v>
      </c>
    </row>
    <row r="4">
      <c r="A4" t="inlineStr">
        <is>
          <t>net</t>
        </is>
      </c>
      <c r="B4" t="n">
        <v>12617</v>
      </c>
    </row>
    <row r="5">
      <c r="A5" t="inlineStr">
        <is>
          <t>gross</t>
        </is>
      </c>
      <c r="B5" t="n">
        <v>13721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2026-07-25T06:23:26Z</dcterms:created>
  <dcterms:modified xmlns:dcterms="http://purl.org/dc/terms/" xmlns:xsi="http://www.w3.org/2001/XMLSchema-instance" xsi:type="dcterms:W3CDTF">2026-07-25T06:23:26Z</dcterms:modified>
</cp:coreProperties>
</file>