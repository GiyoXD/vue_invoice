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sheetId="1" state="visible" r:id="rId1"/>
    <sheet xmlns:r="http://schemas.openxmlformats.org/officeDocument/2006/relationships" name="PACKING LIST" sheetId="2" state="visible" r:id="rId2"/>
    <sheet xmlns:r="http://schemas.openxmlformats.org/officeDocument/2006/relationships" name="Detail packing list" sheetId="3" state="visible" r:id="rId3"/>
    <sheet xmlns:r="http://schemas.openxmlformats.org/officeDocument/2006/relationships" name="DeepSheet" sheetId="4" state="veryHidden" r:id="rId4"/>
    <sheet xmlns:r="http://schemas.openxmlformats.org/officeDocument/2006/relationships" name="Update Container No." sheetId="5" state="hidden" r:id="rId5"/>
    <sheet xmlns:r="http://schemas.openxmlformats.org/officeDocument/2006/relationships" name="TK SX" sheetId="6" state="hidden" r:id="rId6"/>
    <sheet xmlns:r="http://schemas.openxmlformats.org/officeDocument/2006/relationships" name="TK SXXK" sheetId="7" state="hidden" r:id="rId7"/>
    <sheet xmlns:r="http://schemas.openxmlformats.org/officeDocument/2006/relationships" name="PLSX" sheetId="8" state="hidden" r:id="rId8"/>
    <sheet xmlns:r="http://schemas.openxmlformats.org/officeDocument/2006/relationships" name="DCCK" sheetId="9" state="hidden" r:id="rId9"/>
    <sheet xmlns:r="http://schemas.openxmlformats.org/officeDocument/2006/relationships" name="00000000" sheetId="10" state="veryHidden" r:id="rId10"/>
    <sheet xmlns:r="http://schemas.openxmlformats.org/officeDocument/2006/relationships" name="10000000" sheetId="11" state="veryHidden" r:id="rId11"/>
    <sheet xmlns:r="http://schemas.openxmlformats.org/officeDocument/2006/relationships" name="20000000" sheetId="12" state="veryHidden" r:id="rId12"/>
    <sheet xmlns:r="http://schemas.openxmlformats.org/officeDocument/2006/relationships" name="danh sach cont " sheetId="13" state="hidden" r:id="rId13"/>
    <sheet xmlns:r="http://schemas.openxmlformats.org/officeDocument/2006/relationships" name="cong van " sheetId="14" state="hidden" r:id="rId14"/>
    <sheet xmlns:r="http://schemas.openxmlformats.org/officeDocument/2006/relationships" name="danh sach NPL" sheetId="15" state="hidden" r:id="rId15"/>
    <sheet xmlns:r="http://schemas.openxmlformats.org/officeDocument/2006/relationships" name="Mau 06-1 (2)" sheetId="16" state="hidden" r:id="rId16"/>
    <sheet xmlns:r="http://schemas.openxmlformats.org/officeDocument/2006/relationships" name="Sheet1" sheetId="17" state="hidden" r:id="rId17"/>
    <sheet xmlns:r="http://schemas.openxmlformats.org/officeDocument/2006/relationships" name="PO" sheetId="18" state="hidden" r:id="rId18"/>
  </sheets>
  <definedNames>
    <definedName name="_xlnm.Print_Area" localSheetId="0">'INVOICE'!$A$1:$G$37</definedName>
    <definedName name="_xlnm.Print_Area" localSheetId="1">'PACKING LIST'!$A$1:$K$50</definedName>
    <definedName name="_xlnm.Print_Area" localSheetId="2">'Detail packing list'!$A$1:$L$50</definedName>
  </definedNames>
  <calcPr calcId="124519" fullCalcOnLoad="1"/>
</workbook>
</file>

<file path=xl/styles.xml><?xml version="1.0" encoding="utf-8"?>
<styleSheet xmlns="http://schemas.openxmlformats.org/spreadsheetml/2006/main">
  <numFmts count="52">
    <numFmt numFmtId="164" formatCode="mmm\.\ dd\,\ yyyy"/>
    <numFmt numFmtId="165" formatCode="dd/mm/yyyy"/>
    <numFmt numFmtId="166" formatCode="[$-409]mmmm\ d\,\ yyyy;@"/>
    <numFmt numFmtId="167" formatCode="#,##0.00&quot; KGS&quot;"/>
    <numFmt numFmtId="168" formatCode="_-* #,##0_-;\-* #,##0_-;_-* &quot;-&quot;??_-;_-@_-"/>
    <numFmt numFmtId="169" formatCode="_(* #,##0_);_(* \(#,##0\);_(* &quot;-&quot;??_);_(@_)"/>
    <numFmt numFmtId="170" formatCode="&quot;/&quot;00&quot;/2010&quot;"/>
    <numFmt numFmtId="171" formatCode="&quot;.... &quot;00&quot;....&quot;"/>
    <numFmt numFmtId="172" formatCode="&quot;Số :&quot;\ ###########"/>
    <numFmt numFmtId="173" formatCode="yyyy-mm-dd h:mm:ss"/>
    <numFmt numFmtId="174" formatCode="0000&quot;.&quot;00&quot;.&quot;00&quot;.&quot;00"/>
    <numFmt numFmtId="175" formatCode="#,##0.00\ &quot;USD&quot;"/>
    <numFmt numFmtId="176" formatCode="#,##0.00000"/>
    <numFmt numFmtId="177" formatCode="#,##0\ &quot;Kiện /&quot;"/>
    <numFmt numFmtId="178" formatCode="#,##0.00\ &quot;KG(GW)  /&quot;"/>
    <numFmt numFmtId="179" formatCode="##,#00\ &quot;*40' &quot;"/>
    <numFmt numFmtId="180" formatCode="&quot;(Phí THC : &quot;#,###.00&quot;USD)&quot;"/>
    <numFmt numFmtId="181" formatCode="&quot;...... 0&quot;#,##0&quot;......&quot;"/>
    <numFmt numFmtId="182" formatCode="[$-1010000]d/m/yyyy;@"/>
    <numFmt numFmtId="183" formatCode="#,##0\ &quot;VND/USD&quot;"/>
    <numFmt numFmtId="184" formatCode="&quot;(&quot;#,##0.00000&quot;)&quot;"/>
    <numFmt numFmtId="185" formatCode="0.00000000000"/>
    <numFmt numFmtId="186" formatCode="&quot;       &quot;"/>
    <numFmt numFmtId="187" formatCode="0000&quot;.&quot;00&quot;.&quot;00"/>
    <numFmt numFmtId="188" formatCode="#,##0.0000"/>
    <numFmt numFmtId="189" formatCode="_(* #,##0.0000000_);_(* \(#,##0.0000000\);_(* &quot;-&quot;??_);_(@_)"/>
    <numFmt numFmtId="190" formatCode="&quot;Cước  $&quot;0.00"/>
    <numFmt numFmtId="191" formatCode="&quot; + phí BH $:&quot;\ 0.00"/>
    <numFmt numFmtId="192" formatCode="&quot;/Kieän&quot;"/>
    <numFmt numFmtId="193" formatCode="&quot;/&quot;\ #,##0.00"/>
    <numFmt numFmtId="194" formatCode="&quot;/Kgs (G.W)&quot;"/>
    <numFmt numFmtId="195" formatCode="_(* #,##0.000_);_(* \(#,##0.000\);_(* &quot;-&quot;??_);_(@_)"/>
    <numFmt numFmtId="196" formatCode="_-* #,##0.00\ _₫_-;\-* #,##0.00\ _₫_-;_-* &quot;-&quot;??\ _₫_-;_-@_-"/>
    <numFmt numFmtId="197" formatCode="00000"/>
    <numFmt numFmtId="198" formatCode="&quot;0&quot;#,##0"/>
    <numFmt numFmtId="199" formatCode="_(* #,##0.00000_);_(* \(#,##0.00000\);_(* &quot;-&quot;??_);_(@_)"/>
    <numFmt numFmtId="200" formatCode="_(* #,##0.0000_);_(* \(#,##0.0000\);_(* &quot;-&quot;??_);_(@_)"/>
    <numFmt numFmtId="201" formatCode="###0&quot;cm&quot;"/>
    <numFmt numFmtId="202" formatCode="#,##0&quot;cuộn&quot;"/>
    <numFmt numFmtId="203" formatCode="#,##0.00&quot;m2&quot;"/>
    <numFmt numFmtId="204" formatCode="&quot;(&quot;#,##0.00000&quot;$/m2)&quot;"/>
    <numFmt numFmtId="205" formatCode="&quot;/ &quot;#,##0.0&quot; Taám&quot;"/>
    <numFmt numFmtId="206" formatCode="&quot;Kieän&quot;"/>
    <numFmt numFmtId="207" formatCode="&quot;Kieän =&quot;"/>
    <numFmt numFmtId="208" formatCode="&quot;USD&quot;"/>
    <numFmt numFmtId="209" formatCode="#,##0\ &quot;Kiện&quot;"/>
    <numFmt numFmtId="210" formatCode="#,##0.00\ &quot;KGS&quot;"/>
    <numFmt numFmtId="211" formatCode="0_);\(0\)"/>
    <numFmt numFmtId="212" formatCode="0\ &quot;/NK/SX/ST&quot;"/>
    <numFmt numFmtId="213" formatCode="_-* #,##0.00_-;\-* #,##0.00_-;_-* &quot;-&quot;??_-;_-@_-"/>
    <numFmt numFmtId="214" formatCode="0.00000"/>
    <numFmt numFmtId="215" formatCode="yyyy/mm/dd"/>
  </numFmts>
  <fonts count="145">
    <font>
      <name val="Calibri"/>
      <family val="2"/>
      <color theme="1"/>
      <sz val="11"/>
      <scheme val="minor"/>
    </font>
    <font>
      <name val="Times New Roman"/>
      <b val="1"/>
      <sz val="12"/>
    </font>
    <font>
      <name val="Times New Roman"/>
      <sz val="12"/>
    </font>
    <font>
      <name val="Times New Roman"/>
      <b val="1"/>
      <sz val="20"/>
    </font>
    <font>
      <b val="1"/>
    </font>
    <font>
      <name val="Times New Roman"/>
    </font>
    <font>
      <b val="1"/>
      <i val="1"/>
    </font>
    <font>
      <name val="Times New Roman"/>
      <b val="1"/>
      <sz val="16"/>
    </font>
    <font>
      <name val="Times New Roman"/>
      <b val="1"/>
      <sz val="11"/>
    </font>
    <font>
      <name val="Times New Roman"/>
      <b val="1"/>
      <i val="1"/>
    </font>
    <font>
      <name val="Times New Roman"/>
      <b val="1"/>
      <sz val="8"/>
    </font>
    <font>
      <name val="Times New Roman"/>
      <b val="1"/>
    </font>
    <font>
      <name val="Times New Roman"/>
      <b val="1"/>
      <sz val="14"/>
    </font>
    <font>
      <name val="Times New Roman"/>
      <b val="1"/>
      <i val="1"/>
      <sz val="12"/>
    </font>
    <font>
      <name val="Calibri"/>
      <charset val="134"/>
      <sz val="12"/>
      <scheme val="minor"/>
    </font>
    <font>
      <name val="Calibri"/>
      <charset val="134"/>
      <color rgb="FFFF0000"/>
      <sz val="12"/>
      <scheme val="minor"/>
    </font>
    <font>
      <name val="宋体"/>
      <charset val="134"/>
      <sz val="12"/>
    </font>
    <font>
      <name val="宋体"/>
      <charset val="134"/>
      <color rgb="FFFF0000"/>
      <sz val="12"/>
    </font>
    <font>
      <name val="宋体"/>
      <charset val="134"/>
      <color indexed="2"/>
      <sz val="12"/>
    </font>
    <font>
      <name val="Times New Roman"/>
      <charset val="134"/>
      <b val="1"/>
      <sz val="11"/>
    </font>
    <font>
      <name val="Times New Roman"/>
      <charset val="134"/>
      <sz val="10"/>
    </font>
    <font>
      <name val="Times New Roman"/>
      <charset val="134"/>
      <b val="1"/>
      <sz val="14"/>
    </font>
    <font>
      <name val="Free 3 of 9"/>
      <charset val="134"/>
      <sz val="26"/>
    </font>
    <font>
      <name val="Times New Roman"/>
      <charset val="134"/>
      <color indexed="9"/>
      <sz val="10"/>
    </font>
    <font>
      <name val="Times New Roman"/>
      <charset val="134"/>
      <i val="1"/>
      <color indexed="20"/>
      <sz val="12"/>
    </font>
    <font>
      <name val="VNI-Times"/>
      <charset val="134"/>
      <sz val="12"/>
    </font>
    <font>
      <name val="Times New Roman"/>
      <charset val="134"/>
      <b val="1"/>
      <sz val="9"/>
    </font>
    <font>
      <name val="Times New Roman"/>
      <charset val="134"/>
      <sz val="9"/>
    </font>
    <font>
      <name val="Times New Roman"/>
      <charset val="134"/>
      <color indexed="20"/>
      <sz val="9"/>
    </font>
    <font>
      <name val="Times New Roman"/>
      <charset val="134"/>
      <b val="1"/>
      <color indexed="20"/>
      <sz val="11"/>
    </font>
    <font>
      <name val="Times New Roman"/>
      <charset val="134"/>
      <b val="1"/>
      <color indexed="20"/>
      <sz val="10"/>
    </font>
    <font>
      <name val="Times New Roman"/>
      <charset val="134"/>
      <sz val="7"/>
    </font>
    <font>
      <name val="Times New Roman"/>
      <charset val="134"/>
      <color indexed="20"/>
      <sz val="8"/>
    </font>
    <font>
      <name val="Times New Roman"/>
      <charset val="134"/>
      <sz val="8"/>
    </font>
    <font>
      <name val="Times New Roman"/>
      <charset val="134"/>
      <color indexed="20"/>
      <sz val="10"/>
    </font>
    <font>
      <name val="Times New Roman"/>
      <charset val="134"/>
      <i val="1"/>
      <color indexed="20"/>
      <sz val="10"/>
    </font>
    <font>
      <name val="Times New Roman"/>
      <charset val="134"/>
      <b val="1"/>
      <sz val="10"/>
    </font>
    <font>
      <name val="VNI-Times"/>
      <charset val="134"/>
      <i val="1"/>
      <color indexed="20"/>
      <sz val="10"/>
    </font>
    <font>
      <name val="VNI-Times"/>
      <charset val="134"/>
      <color indexed="20"/>
      <sz val="10"/>
    </font>
    <font>
      <name val="VNI-Times"/>
      <charset val="134"/>
      <sz val="10"/>
    </font>
    <font>
      <name val="Times New Roman"/>
      <charset val="134"/>
      <b val="1"/>
      <sz val="8"/>
    </font>
    <font>
      <name val="Times New Roman"/>
      <charset val="134"/>
      <b val="1"/>
      <i val="1"/>
      <sz val="8"/>
    </font>
    <font>
      <name val="Arial"/>
      <charset val="134"/>
      <sz val="9"/>
    </font>
    <font>
      <name val="VNI-Times"/>
      <charset val="134"/>
      <b val="1"/>
      <sz val="9"/>
    </font>
    <font>
      <name val="VNI-Times"/>
      <charset val="134"/>
      <sz val="9"/>
    </font>
    <font>
      <name val="VNI-Times"/>
      <charset val="134"/>
      <b val="1"/>
      <sz val="11"/>
    </font>
    <font>
      <name val="VNI-Times"/>
      <charset val="134"/>
      <b val="1"/>
      <sz val="10"/>
    </font>
    <font>
      <name val="VNI-Times"/>
      <charset val="134"/>
      <sz val="8"/>
    </font>
    <font>
      <name val="VNI-Times"/>
      <charset val="134"/>
      <b val="1"/>
      <color rgb="FFFF0000"/>
      <sz val="10"/>
    </font>
    <font>
      <name val="VNI-Times"/>
      <charset val="134"/>
      <b val="1"/>
      <sz val="8"/>
    </font>
    <font>
      <name val="Times New Roman"/>
      <charset val="134"/>
      <color indexed="8"/>
      <sz val="8"/>
    </font>
    <font>
      <name val="Times New Roman"/>
      <charset val="134"/>
      <color indexed="8"/>
      <sz val="9"/>
    </font>
    <font>
      <name val="Times New Roman"/>
      <charset val="134"/>
      <i val="1"/>
      <sz val="9"/>
    </font>
    <font>
      <name val="Times New Roman"/>
      <charset val="134"/>
      <color rgb="FFFF0000"/>
      <sz val="11"/>
    </font>
    <font>
      <name val="VNI-Times"/>
      <charset val="134"/>
      <b val="1"/>
      <i val="1"/>
      <sz val="10"/>
    </font>
    <font>
      <name val="VNI-Times"/>
      <charset val="134"/>
      <b val="1"/>
      <i val="1"/>
      <color rgb="FFFF0000"/>
      <sz val="10"/>
    </font>
    <font>
      <name val="VNI-Times"/>
      <charset val="134"/>
      <color rgb="FFFF0000"/>
      <sz val="10"/>
    </font>
    <font>
      <name val="Times New Roman"/>
      <charset val="134"/>
      <b val="1"/>
      <i val="1"/>
      <color indexed="10"/>
      <sz val="10"/>
    </font>
    <font>
      <name val="Times New Roman"/>
      <charset val="134"/>
      <color indexed="9"/>
      <sz val="7"/>
    </font>
    <font>
      <name val="Times New Roman"/>
      <charset val="134"/>
      <color indexed="10"/>
      <sz val="7"/>
    </font>
    <font>
      <name val="Times New Roman"/>
      <charset val="134"/>
      <color rgb="FFFF0000"/>
      <sz val="7"/>
    </font>
    <font>
      <name val="Times New Roman"/>
      <charset val="134"/>
      <color rgb="FFFF0000"/>
      <sz val="9"/>
    </font>
    <font>
      <name val="VNI-Times"/>
      <charset val="134"/>
      <b val="1"/>
      <i val="1"/>
      <sz val="9"/>
    </font>
    <font>
      <name val="Times New Roman"/>
      <charset val="134"/>
      <sz val="8.5"/>
    </font>
    <font>
      <name val="Times New Roman"/>
      <charset val="134"/>
      <color rgb="FFFF0000"/>
      <sz val="10"/>
    </font>
    <font>
      <name val="VNI-Times"/>
      <charset val="134"/>
      <b val="1"/>
      <sz val="12"/>
    </font>
    <font>
      <name val="VNI-Times"/>
      <charset val="134"/>
      <b val="1"/>
      <i val="1"/>
      <sz val="12"/>
    </font>
    <font>
      <name val="VNI-Times"/>
      <charset val="134"/>
      <sz val="15"/>
    </font>
    <font>
      <name val="VNI-Times"/>
      <charset val="134"/>
      <sz val="16"/>
    </font>
    <font>
      <name val="VNI-Times"/>
      <charset val="134"/>
      <i val="1"/>
      <sz val="12"/>
      <u val="single"/>
    </font>
    <font>
      <name val="VNI-Times"/>
      <charset val="134"/>
      <sz val="11"/>
    </font>
    <font>
      <name val="VNI-Times"/>
      <charset val="134"/>
      <b val="1"/>
      <color indexed="14"/>
      <sz val="12"/>
    </font>
    <font>
      <name val="VNI-Times"/>
      <charset val="134"/>
      <b val="1"/>
      <color indexed="12"/>
      <sz val="12"/>
    </font>
    <font>
      <name val="VNI-Times"/>
      <charset val="134"/>
      <color indexed="12"/>
      <sz val="12"/>
    </font>
    <font>
      <name val="VNI-Times"/>
      <charset val="134"/>
      <color indexed="8"/>
      <sz val="12"/>
    </font>
    <font>
      <name val="VNI-Times"/>
      <charset val="134"/>
      <i val="1"/>
      <sz val="12"/>
    </font>
    <font>
      <name val="VNI-Times"/>
      <charset val="134"/>
      <i val="1"/>
      <color indexed="9"/>
      <sz val="12"/>
    </font>
    <font>
      <name val="VNI-Times"/>
      <charset val="134"/>
      <color indexed="10"/>
      <sz val="12"/>
    </font>
    <font>
      <name val="VNI-Times"/>
      <charset val="134"/>
      <i val="1"/>
      <sz val="11"/>
    </font>
    <font>
      <name val="Calibri"/>
      <charset val="134"/>
      <b val="1"/>
      <color indexed="8"/>
      <sz val="11"/>
    </font>
    <font>
      <name val="VNI-Times"/>
      <charset val="134"/>
      <color theme="1"/>
      <sz val="12"/>
    </font>
    <font>
      <name val="VNI-Times"/>
      <charset val="134"/>
      <b val="1"/>
      <color rgb="FF000000"/>
      <sz val="11"/>
    </font>
    <font>
      <name val="VNI-Times"/>
      <charset val="134"/>
      <color theme="1"/>
      <sz val="10"/>
    </font>
    <font>
      <name val="VNI-Times"/>
      <charset val="134"/>
      <i val="1"/>
      <color rgb="FF000000"/>
      <sz val="11"/>
    </font>
    <font>
      <name val="VNI-Times"/>
      <charset val="134"/>
      <color rgb="FF000000"/>
      <sz val="11"/>
    </font>
    <font>
      <name val="Times New Roman"/>
      <charset val="134"/>
      <i val="1"/>
      <color theme="1"/>
      <sz val="11"/>
    </font>
    <font>
      <name val="Calibri"/>
      <charset val="134"/>
      <b val="1"/>
      <color theme="1"/>
      <sz val="20"/>
      <scheme val="minor"/>
    </font>
    <font>
      <name val="Calibri"/>
      <charset val="134"/>
      <i val="1"/>
      <color theme="1"/>
      <sz val="13"/>
      <scheme val="minor"/>
    </font>
    <font>
      <name val="VNI-Helve"/>
      <charset val="134"/>
      <b val="1"/>
      <i val="1"/>
      <color theme="1"/>
      <sz val="15"/>
      <u val="single"/>
    </font>
    <font>
      <name val="VNI-Helve"/>
      <charset val="134"/>
      <b val="1"/>
      <i val="1"/>
      <color theme="1"/>
      <sz val="13"/>
      <u val="single"/>
    </font>
    <font>
      <name val="VNI-Helve"/>
      <charset val="134"/>
      <color theme="1"/>
      <sz val="12"/>
    </font>
    <font>
      <name val="Arial"/>
      <charset val="134"/>
      <color rgb="FF1F497D"/>
      <sz val="12"/>
    </font>
    <font>
      <name val="VNI-Helve"/>
      <charset val="134"/>
      <color rgb="FF000000"/>
      <sz val="12"/>
    </font>
    <font>
      <name val="VNI-Helve"/>
      <charset val="134"/>
      <b val="1"/>
      <color rgb="FFFF0000"/>
      <sz val="12"/>
    </font>
    <font>
      <name val="VNI-Helve"/>
      <charset val="134"/>
      <color rgb="FF000000"/>
      <sz val="11"/>
    </font>
    <font>
      <name val="Times New Roman"/>
      <charset val="134"/>
      <color theme="1"/>
      <sz val="12"/>
    </font>
    <font>
      <name val="Calibri"/>
      <charset val="134"/>
      <color theme="1"/>
      <sz val="12"/>
      <scheme val="minor"/>
    </font>
    <font>
      <name val="VNI-Helve"/>
      <charset val="134"/>
      <color theme="1"/>
      <sz val="11"/>
    </font>
    <font>
      <name val="VNI-Helve"/>
      <charset val="134"/>
      <b val="1"/>
      <i val="1"/>
      <color theme="1"/>
      <sz val="12"/>
    </font>
    <font>
      <name val="VNI-Helve"/>
      <charset val="134"/>
      <b val="1"/>
      <color rgb="FF000000"/>
      <sz val="11"/>
    </font>
    <font>
      <name val="VNI-Helve"/>
      <charset val="134"/>
      <i val="1"/>
      <color theme="1"/>
      <sz val="11"/>
    </font>
    <font>
      <name val="Times New Roman"/>
      <charset val="134"/>
      <i val="1"/>
      <color theme="1"/>
      <sz val="12"/>
    </font>
    <font>
      <name val="Times New Roman"/>
      <charset val="134"/>
      <i val="1"/>
      <sz val="10"/>
    </font>
    <font>
      <name val="Times New Roman"/>
      <charset val="134"/>
      <color indexed="10"/>
      <sz val="10"/>
    </font>
    <font>
      <name val="Times New Roman"/>
      <charset val="134"/>
      <color theme="1"/>
      <sz val="10"/>
    </font>
    <font>
      <name val="Times New Roman"/>
      <charset val="134"/>
      <sz val="12"/>
    </font>
    <font>
      <name val="VNI-Times"/>
      <charset val="134"/>
      <sz val="14"/>
    </font>
    <font>
      <name val="Verdana"/>
      <charset val="134"/>
      <color rgb="FF1F497D"/>
      <sz val="11"/>
    </font>
    <font>
      <name val="VNI-Bodon"/>
      <charset val="134"/>
      <color theme="0"/>
      <sz val="9"/>
    </font>
    <font>
      <name val="VNI-Bodon"/>
      <charset val="134"/>
      <sz val="10"/>
    </font>
    <font>
      <name val="VNI-Bodon"/>
      <charset val="134"/>
      <sz val="9"/>
    </font>
    <font>
      <name val="VNI-Bodon"/>
      <charset val="134"/>
      <color indexed="9"/>
      <sz val="9"/>
    </font>
    <font>
      <name val="Times New Roman"/>
      <charset val="134"/>
      <color theme="0"/>
      <sz val="10"/>
    </font>
    <font>
      <name val="101019"/>
      <charset val="163"/>
      <b val="1"/>
      <color rgb="FFFF0000"/>
      <sz val="18"/>
    </font>
    <font>
      <name val="Arial"/>
      <charset val="134"/>
      <b val="1"/>
      <color rgb="FFFF0000"/>
      <sz val="11"/>
    </font>
    <font>
      <name val="Arial"/>
      <charset val="134"/>
      <b val="1"/>
      <color rgb="FFFF0000"/>
      <sz val="14"/>
    </font>
    <font>
      <name val="101019"/>
      <charset val="163"/>
      <color theme="1"/>
      <sz val="18"/>
    </font>
    <font>
      <name val="Calibri"/>
      <charset val="134"/>
      <color rgb="FF000000"/>
      <sz val="11"/>
    </font>
    <font>
      <name val="Arial"/>
      <charset val="134"/>
      <color theme="1"/>
      <sz val="11"/>
    </font>
    <font>
      <name val="Arial"/>
      <charset val="134"/>
      <color theme="1"/>
      <sz val="14"/>
    </font>
    <font>
      <name val="Calibri"/>
      <charset val="134"/>
      <color rgb="FFFF0000"/>
      <sz val="11"/>
      <scheme val="minor"/>
    </font>
    <font>
      <name val="Calibri"/>
      <charset val="134"/>
      <color theme="1"/>
      <sz val="14"/>
      <scheme val="minor"/>
    </font>
    <font>
      <name val="Tahoma"/>
      <charset val="134"/>
      <color theme="1"/>
      <sz val="10"/>
    </font>
    <font>
      <name val="101019"/>
      <charset val="163"/>
      <sz val="18"/>
    </font>
    <font>
      <name val="Calibri"/>
      <charset val="134"/>
      <color indexed="8"/>
      <sz val="11"/>
    </font>
    <font>
      <name val="Calibri"/>
      <charset val="134"/>
      <sz val="11"/>
    </font>
    <font>
      <name val="Times New Roman"/>
      <charset val="134"/>
      <sz val="11"/>
    </font>
    <font>
      <name val="101019"/>
      <charset val="163"/>
      <color rgb="FF000000"/>
      <sz val="18"/>
    </font>
    <font>
      <name val="Calibri"/>
      <charset val="134"/>
      <color rgb="FF000000"/>
      <sz val="11"/>
      <scheme val="minor"/>
    </font>
    <font>
      <name val="Calibri"/>
      <charset val="134"/>
      <color theme="1"/>
      <sz val="18"/>
      <scheme val="minor"/>
    </font>
    <font>
      <name val="Arial"/>
      <charset val="134"/>
      <sz val="10"/>
    </font>
    <font>
      <name val="Calibri"/>
      <charset val="134"/>
      <color rgb="FF0033CC"/>
      <sz val="11"/>
    </font>
    <font>
      <name val="Arial"/>
      <charset val="134"/>
      <b val="1"/>
      <sz val="12"/>
    </font>
    <font>
      <name val="Arial"/>
      <charset val="134"/>
      <b val="1"/>
      <sz val="9"/>
    </font>
    <font>
      <name val="Arial"/>
      <charset val="134"/>
      <b val="1"/>
      <sz val="16"/>
    </font>
    <font>
      <name val="Arial"/>
      <charset val="134"/>
      <b val="1"/>
      <sz val="8"/>
    </font>
    <font>
      <name val="Arial"/>
      <charset val="134"/>
      <b val="1"/>
      <sz val="10"/>
    </font>
    <font>
      <name val="Arial"/>
      <charset val="134"/>
      <sz val="8"/>
    </font>
    <font>
      <name val="Arial"/>
      <charset val="134"/>
      <b val="1"/>
      <i val="1"/>
      <sz val="10"/>
    </font>
    <font>
      <name val="Arial"/>
      <charset val="134"/>
      <color theme="1"/>
      <sz val="10"/>
    </font>
    <font>
      <name val="Arial"/>
      <charset val="134"/>
      <b val="1"/>
      <i val="1"/>
      <sz val="8"/>
    </font>
    <font>
      <name val="Arial"/>
      <charset val="134"/>
      <b val="1"/>
      <i val="1"/>
      <sz val="7"/>
    </font>
    <font>
      <name val="Arial"/>
      <charset val="134"/>
      <b val="1"/>
      <i val="1"/>
      <sz val="6"/>
    </font>
    <font>
      <name val="Arial"/>
      <charset val="134"/>
      <color indexed="8"/>
      <sz val="10"/>
    </font>
    <font>
      <name val="Arial"/>
      <charset val="134"/>
      <b val="1"/>
      <i val="1"/>
      <sz val="10"/>
      <u val="single"/>
    </font>
  </fonts>
  <fills count="10">
    <fill>
      <patternFill/>
    </fill>
    <fill>
      <patternFill patternType="gray125"/>
    </fill>
    <fill>
      <patternFill patternType="solid">
        <fgColor theme="0"/>
        <bgColor indexed="64"/>
      </patternFill>
    </fill>
    <fill>
      <patternFill patternType="solid">
        <fgColor rgb="FFFFFF00"/>
        <bgColor indexed="64"/>
      </patternFill>
    </fill>
    <fill>
      <patternFill patternType="solid">
        <fgColor indexed="41"/>
        <bgColor indexed="64"/>
      </patternFill>
    </fill>
    <fill>
      <patternFill patternType="solid">
        <fgColor theme="3" tint="0.7997985778374584"/>
        <bgColor indexed="64"/>
      </patternFill>
    </fill>
    <fill>
      <patternFill patternType="solid">
        <fgColor rgb="FF00B0F0"/>
        <bgColor indexed="64"/>
      </patternFill>
    </fill>
    <fill>
      <patternFill patternType="solid">
        <fgColor rgb="FFFFC000"/>
        <bgColor indexed="64"/>
      </patternFill>
    </fill>
    <fill>
      <patternFill patternType="solid">
        <fgColor indexed="43"/>
        <bgColor indexed="64"/>
      </patternFill>
    </fill>
    <fill>
      <patternFill patternType="solid">
        <fgColor rgb="FF92D050"/>
        <bgColor indexed="64"/>
      </patternFill>
    </fill>
  </fills>
  <borders count="82">
    <border>
      <left/>
      <right/>
      <top/>
      <bottom/>
      <diagonal/>
    </border>
    <border>
      <left style="thin">
        <color rgb="00000000"/>
      </left>
      <right style="thin">
        <color rgb="00000000"/>
      </right>
      <top style="thin">
        <color rgb="00000000"/>
      </top>
      <bottom style="thin">
        <color rgb="00000000"/>
      </bottom>
    </border>
    <border>
      <top style="mediu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medium"/>
      <bottom/>
      <diagonal/>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
      <left style="thin">
        <color auto="1"/>
      </left>
      <right style="thin">
        <color auto="1"/>
      </right>
      <top style="thin">
        <color auto="1"/>
      </top>
      <bottom style="thin">
        <color auto="1"/>
      </bottom>
      <diagonal/>
    </border>
    <border>
      <left/>
      <right/>
      <top/>
      <bottom style="double">
        <color auto="1"/>
      </bottom>
      <diagonal/>
    </border>
    <border>
      <left style="double">
        <color auto="1"/>
      </left>
      <right/>
      <top/>
      <bottom/>
      <diagonal/>
    </border>
    <border>
      <left/>
      <right style="thin">
        <color auto="1"/>
      </right>
      <top/>
      <bottom/>
      <diagonal/>
    </border>
    <border>
      <left/>
      <right/>
      <top style="double">
        <color auto="1"/>
      </top>
      <bottom/>
      <diagonal/>
    </border>
    <border>
      <left style="thin">
        <color auto="1"/>
      </left>
      <right/>
      <top/>
      <bottom/>
      <diagonal/>
    </border>
    <border>
      <left/>
      <right style="double">
        <color auto="1"/>
      </right>
      <top/>
      <bottom/>
      <diagonal/>
    </border>
    <border>
      <left style="double">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double">
        <color auto="1"/>
      </right>
      <top/>
      <bottom style="thin">
        <color auto="1"/>
      </bottom>
      <diagonal/>
    </border>
    <border>
      <left style="double">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double">
        <color auto="1"/>
      </right>
      <top style="thin">
        <color auto="1"/>
      </top>
      <bottom/>
      <diagonal/>
    </border>
    <border>
      <left style="double">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double">
        <color auto="1"/>
      </right>
      <top style="thin">
        <color auto="1"/>
      </top>
      <bottom/>
      <diagonal/>
    </border>
    <border>
      <left style="double">
        <color auto="1"/>
      </left>
      <right style="thin">
        <color auto="1"/>
      </right>
      <top/>
      <bottom/>
      <diagonal/>
    </border>
    <border>
      <left style="thin">
        <color auto="1"/>
      </left>
      <right style="double">
        <color auto="1"/>
      </right>
      <top/>
      <bottom/>
      <diagonal/>
    </border>
    <border>
      <left style="thin">
        <color auto="1"/>
      </left>
      <right style="double">
        <color auto="1"/>
      </right>
      <top style="thin">
        <color auto="1"/>
      </top>
      <bottom style="thin">
        <color auto="1"/>
      </bottom>
      <diagonal/>
    </border>
    <border>
      <left style="double">
        <color auto="1"/>
      </left>
      <right/>
      <top style="thin">
        <color indexed="8"/>
      </top>
      <bottom/>
      <diagonal/>
    </border>
    <border>
      <left/>
      <right/>
      <top style="thin">
        <color indexed="8"/>
      </top>
      <bottom/>
      <diagonal/>
    </border>
    <border>
      <left style="thin">
        <color auto="1"/>
      </left>
      <right style="double">
        <color auto="1"/>
      </right>
      <top/>
      <bottom style="thin">
        <color auto="1"/>
      </bottom>
      <diagonal/>
    </border>
    <border>
      <left style="double">
        <color auto="1"/>
      </left>
      <right style="thin">
        <color auto="1"/>
      </right>
      <top/>
      <bottom style="thin">
        <color auto="1"/>
      </bottom>
      <diagonal/>
    </border>
    <border>
      <left style="double">
        <color auto="1"/>
      </left>
      <right/>
      <top/>
      <bottom style="hair">
        <color auto="1"/>
      </bottom>
      <diagonal/>
    </border>
    <border>
      <left style="thin">
        <color auto="1"/>
      </left>
      <right style="thin">
        <color auto="1"/>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double">
        <color auto="1"/>
      </right>
      <top/>
      <bottom style="hair">
        <color auto="1"/>
      </bottom>
      <diagonal/>
    </border>
    <border>
      <left/>
      <right style="double">
        <color auto="1"/>
      </right>
      <top/>
      <bottom style="hair">
        <color auto="1"/>
      </bottom>
      <diagonal/>
    </border>
    <border>
      <left style="double">
        <color auto="1"/>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double">
        <color auto="1"/>
      </right>
      <top style="hair">
        <color auto="1"/>
      </top>
      <bottom style="hair">
        <color auto="1"/>
      </bottom>
      <diagonal/>
    </border>
    <border>
      <left/>
      <right style="double">
        <color auto="1"/>
      </right>
      <top style="hair">
        <color auto="1"/>
      </top>
      <bottom style="hair">
        <color auto="1"/>
      </bottom>
      <diagonal/>
    </border>
    <border>
      <left style="double">
        <color auto="1"/>
      </left>
      <right/>
      <top style="hair">
        <color auto="1"/>
      </top>
      <bottom style="hair">
        <color indexed="8"/>
      </bottom>
      <diagonal/>
    </border>
    <border>
      <left style="thin">
        <color indexed="8"/>
      </left>
      <right style="thin">
        <color auto="1"/>
      </right>
      <top style="hair">
        <color auto="1"/>
      </top>
      <bottom/>
      <diagonal/>
    </border>
    <border>
      <left/>
      <right/>
      <top style="hair">
        <color auto="1"/>
      </top>
      <bottom/>
      <diagonal/>
    </border>
    <border>
      <left/>
      <right style="thin">
        <color auto="1"/>
      </right>
      <top style="hair">
        <color auto="1"/>
      </top>
      <bottom/>
      <diagonal/>
    </border>
    <border>
      <left style="double">
        <color auto="1"/>
      </left>
      <right/>
      <top style="hair">
        <color indexed="8"/>
      </top>
      <bottom style="thin">
        <color auto="1"/>
      </bottom>
      <diagonal/>
    </border>
    <border>
      <left/>
      <right/>
      <top style="hair">
        <color indexed="8"/>
      </top>
      <bottom style="thin">
        <color auto="1"/>
      </bottom>
      <diagonal/>
    </border>
    <border>
      <left style="thin">
        <color indexed="8"/>
      </left>
      <right/>
      <top style="hair">
        <color indexed="8"/>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double">
        <color auto="1"/>
      </right>
      <top style="hair">
        <color auto="1"/>
      </top>
      <bottom style="thin">
        <color auto="1"/>
      </bottom>
      <diagonal/>
    </border>
    <border>
      <left/>
      <right style="double">
        <color auto="1"/>
      </right>
      <top style="hair">
        <color auto="1"/>
      </top>
      <bottom style="thin">
        <color auto="1"/>
      </bottom>
      <diagonal/>
    </border>
    <border>
      <left/>
      <right style="thin">
        <color auto="1"/>
      </right>
      <top style="thin">
        <color auto="1"/>
      </top>
      <bottom style="thin">
        <color auto="1"/>
      </bottom>
      <diagonal/>
    </border>
    <border>
      <left/>
      <right style="double">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style="double">
        <color auto="1"/>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style="thin">
        <color indexed="8"/>
      </top>
      <bottom/>
      <diagonal/>
    </border>
    <border>
      <left style="double">
        <color auto="1"/>
      </left>
      <right/>
      <top/>
      <bottom style="double">
        <color auto="1"/>
      </bottom>
      <diagonal/>
    </border>
    <border>
      <left/>
      <right style="thin">
        <color auto="1"/>
      </right>
      <top/>
      <bottom style="double">
        <color auto="1"/>
      </bottom>
      <diagonal/>
    </border>
    <border>
      <left style="thin">
        <color auto="1"/>
      </left>
      <right style="double">
        <color auto="1"/>
      </right>
      <top/>
      <bottom style="double">
        <color auto="1"/>
      </bottom>
      <diagonal/>
    </border>
    <border>
      <left/>
      <right style="double">
        <color auto="1"/>
      </right>
      <top/>
      <bottom style="double">
        <color auto="1"/>
      </bottom>
      <diagonal/>
    </border>
    <border>
      <left/>
      <right/>
      <top style="hair">
        <color indexed="8"/>
      </top>
      <bottom/>
      <diagonal/>
    </border>
    <border>
      <left/>
      <right style="double">
        <color auto="1"/>
      </right>
      <top style="hair">
        <color auto="1"/>
      </top>
      <bottom/>
      <diagonal/>
    </border>
    <border>
      <left/>
      <right style="medium">
        <color auto="1"/>
      </right>
      <top/>
      <bottom style="medium">
        <color auto="1"/>
      </bottom>
      <diagonal/>
    </border>
    <border>
      <left style="hair">
        <color auto="1"/>
      </left>
      <right style="hair">
        <color auto="1"/>
      </right>
      <top style="hair">
        <color auto="1"/>
      </top>
      <bottom style="hair">
        <color auto="1"/>
      </bottom>
      <diagonal/>
    </border>
  </borders>
  <cellStyleXfs count="1">
    <xf numFmtId="0" fontId="0" fillId="0" borderId="0"/>
  </cellStyleXfs>
  <cellXfs count="787">
    <xf numFmtId="0" fontId="0"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vertical="center"/>
    </xf>
    <xf numFmtId="0" fontId="5" fillId="0" borderId="0" applyAlignment="1" pivotButton="0" quotePrefix="0" xfId="0">
      <alignment horizontal="center" vertical="center"/>
    </xf>
    <xf numFmtId="0" fontId="0" fillId="0" borderId="0" applyAlignment="1" pivotButton="0" quotePrefix="0" xfId="0">
      <alignment vertical="center"/>
    </xf>
    <xf numFmtId="0" fontId="5" fillId="0" borderId="0" applyAlignment="1" pivotButton="0" quotePrefix="0" xfId="0">
      <alignment horizontal="center" vertical="top"/>
    </xf>
    <xf numFmtId="0" fontId="0" fillId="0" borderId="0" applyAlignment="1" pivotButton="0" quotePrefix="0" xfId="0">
      <alignment vertical="top"/>
    </xf>
    <xf numFmtId="0" fontId="4" fillId="0" borderId="2" applyAlignment="1" pivotButton="0" quotePrefix="0" xfId="0">
      <alignment horizontal="left"/>
    </xf>
    <xf numFmtId="1" fontId="4" fillId="0" borderId="2" applyAlignment="1" pivotButton="0" quotePrefix="0" xfId="0">
      <alignment horizontal="left"/>
    </xf>
    <xf numFmtId="0" fontId="0" fillId="0" borderId="2" pivotButton="0" quotePrefix="0" xfId="0"/>
    <xf numFmtId="0" fontId="5" fillId="0" borderId="0" applyAlignment="1" pivotButton="0" quotePrefix="0" xfId="0">
      <alignment vertical="center"/>
    </xf>
    <xf numFmtId="0" fontId="5" fillId="0" borderId="0" pivotButton="0" quotePrefix="0" xfId="0"/>
    <xf numFmtId="0" fontId="2" fillId="0" borderId="0" applyAlignment="1" pivotButton="0" quotePrefix="0" xfId="0">
      <alignment vertical="center"/>
    </xf>
    <xf numFmtId="0" fontId="0" fillId="0" borderId="0" applyAlignment="1" pivotButton="0" quotePrefix="0" xfId="0">
      <alignment horizontal="right" vertical="center"/>
    </xf>
    <xf numFmtId="164" fontId="0" fillId="0" borderId="0" applyAlignment="1" pivotButton="0" quotePrefix="0" xfId="0">
      <alignment horizontal="left" vertical="center"/>
    </xf>
    <xf numFmtId="165" fontId="2" fillId="0" borderId="0" applyAlignment="1" pivotButton="0" quotePrefix="0" xfId="0">
      <alignment horizontal="left" vertical="center"/>
    </xf>
    <xf numFmtId="166" fontId="0" fillId="0" borderId="0" applyAlignment="1" pivotButton="0" quotePrefix="0" xfId="0">
      <alignment horizontal="left" vertical="center"/>
    </xf>
    <xf numFmtId="164" fontId="0" fillId="0" borderId="0" applyAlignment="1" pivotButton="0" quotePrefix="0" xfId="0">
      <alignment horizontal="center" vertical="center"/>
    </xf>
    <xf numFmtId="1" fontId="5" fillId="0" borderId="0" applyAlignment="1" pivotButton="0" quotePrefix="0" xfId="0">
      <alignmen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4" fillId="0" borderId="0" applyAlignment="1" pivotButton="0" quotePrefix="0" xfId="0">
      <alignment horizontal="right" vertical="center"/>
    </xf>
    <xf numFmtId="1" fontId="0" fillId="0" borderId="0" applyAlignment="1" pivotButton="0" quotePrefix="0" xfId="0">
      <alignment vertical="center"/>
    </xf>
    <xf numFmtId="49" fontId="1" fillId="0" borderId="1" applyAlignment="1" pivotButton="0" quotePrefix="0" xfId="0">
      <alignment horizontal="center" vertical="center" wrapText="1"/>
    </xf>
    <xf numFmtId="4" fontId="1" fillId="0" borderId="1" applyAlignment="1" pivotButton="0" quotePrefix="0" xfId="0">
      <alignment horizontal="center" vertical="center" wrapText="1"/>
    </xf>
    <xf numFmtId="49" fontId="2" fillId="0" borderId="1" applyAlignment="1" pivotButton="0" quotePrefix="0" xfId="0">
      <alignment horizontal="center" vertical="center" wrapText="1"/>
    </xf>
    <xf numFmtId="4" fontId="2" fillId="0" borderId="1" applyAlignment="1" pivotButton="0" quotePrefix="0" xfId="0">
      <alignment horizontal="center" vertical="center" wrapText="1"/>
    </xf>
    <xf numFmtId="39" fontId="0" fillId="0" borderId="0"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vertical="center"/>
    </xf>
    <xf numFmtId="0" fontId="0" fillId="0" borderId="0" applyAlignment="1" pivotButton="0" quotePrefix="0" xfId="0">
      <alignment horizontal="left"/>
    </xf>
    <xf numFmtId="4" fontId="4" fillId="0" borderId="0" applyAlignment="1" pivotButton="0" quotePrefix="0" xfId="0">
      <alignment horizontal="centerContinuous" vertical="center"/>
    </xf>
    <xf numFmtId="1" fontId="0" fillId="0" borderId="0" applyAlignment="1" pivotButton="0" quotePrefix="0" xfId="0">
      <alignment horizontal="distributed"/>
    </xf>
    <xf numFmtId="1" fontId="0" fillId="0" borderId="0" applyAlignment="1" pivotButton="0" quotePrefix="0" xfId="0">
      <alignment horizontal="centerContinuous"/>
    </xf>
    <xf numFmtId="0" fontId="3" fillId="0" borderId="2" applyAlignment="1" pivotButton="0" quotePrefix="0" xfId="0">
      <alignment horizontal="center" vertical="center"/>
    </xf>
    <xf numFmtId="0" fontId="0" fillId="0" borderId="6" pivotButton="0" quotePrefix="0" xfId="0"/>
    <xf numFmtId="0" fontId="4" fillId="0" borderId="0" applyAlignment="1" pivotButton="0" quotePrefix="0" xfId="0">
      <alignment horizontal="center" vertical="center"/>
    </xf>
    <xf numFmtId="165" fontId="5" fillId="0" borderId="0" applyAlignment="1" pivotButton="0" quotePrefix="0" xfId="0">
      <alignment horizontal="left" vertical="center"/>
    </xf>
    <xf numFmtId="166" fontId="5" fillId="0" borderId="0" applyAlignment="1" pivotButton="0" quotePrefix="0" xfId="0">
      <alignment horizontal="left" vertical="center"/>
    </xf>
    <xf numFmtId="1" fontId="0" fillId="0" borderId="0" applyAlignment="1" pivotButton="0" quotePrefix="0" xfId="0">
      <alignment horizontal="left" vertical="center"/>
    </xf>
    <xf numFmtId="49" fontId="8" fillId="0" borderId="1" applyAlignment="1" pivotButton="0" quotePrefix="0" xfId="0">
      <alignment horizontal="center" vertical="center" wrapText="1"/>
    </xf>
    <xf numFmtId="3" fontId="8" fillId="0" borderId="1" applyAlignment="1" pivotButton="0" quotePrefix="0" xfId="0">
      <alignment horizontal="center" vertical="center" wrapText="1"/>
    </xf>
    <xf numFmtId="4" fontId="8" fillId="0" borderId="1" applyAlignment="1" pivotButton="0" quotePrefix="0" xfId="0">
      <alignment horizontal="center" vertical="center" wrapText="1"/>
    </xf>
    <xf numFmtId="2" fontId="8" fillId="0" borderId="1" applyAlignment="1" pivotButton="0" quotePrefix="0" xfId="0">
      <alignment horizontal="center" vertical="center" wrapText="1"/>
    </xf>
    <xf numFmtId="3" fontId="2" fillId="0" borderId="1" applyAlignment="1" pivotButton="0" quotePrefix="0" xfId="0">
      <alignment horizontal="center" vertical="center" wrapText="1"/>
    </xf>
    <xf numFmtId="2" fontId="2" fillId="0" borderId="1" applyAlignment="1" pivotButton="0" quotePrefix="0" xfId="0">
      <alignment horizontal="center" vertical="center" wrapText="1"/>
    </xf>
    <xf numFmtId="0" fontId="0" fillId="0" borderId="5" pivotButton="0" quotePrefix="0" xfId="0"/>
    <xf numFmtId="0" fontId="0" fillId="0" borderId="4" pivotButton="0" quotePrefix="0" xfId="0"/>
    <xf numFmtId="0" fontId="2" fillId="0" borderId="1" applyAlignment="1" pivotButton="0" quotePrefix="0" xfId="0">
      <alignment horizontal="center" vertical="center" wrapText="1"/>
    </xf>
    <xf numFmtId="0" fontId="0" fillId="0" borderId="9" pivotButton="0" quotePrefix="0" xfId="0"/>
    <xf numFmtId="3" fontId="2" fillId="0" borderId="1" applyAlignment="1" pivotButton="0" quotePrefix="0" xfId="0">
      <alignment horizontal="right" vertical="center"/>
    </xf>
    <xf numFmtId="3" fontId="2" fillId="0" borderId="1" applyAlignment="1" pivotButton="0" quotePrefix="0" xfId="0">
      <alignment horizontal="center" vertical="center"/>
    </xf>
    <xf numFmtId="0" fontId="2" fillId="0" borderId="1" applyAlignment="1" pivotButton="0" quotePrefix="0" xfId="0">
      <alignment horizontal="right" vertical="center"/>
    </xf>
    <xf numFmtId="0" fontId="9" fillId="0" borderId="1" applyAlignment="1" pivotButton="0" quotePrefix="0" xfId="0">
      <alignment horizontal="left" vertical="center"/>
    </xf>
    <xf numFmtId="1" fontId="6" fillId="0" borderId="1" applyAlignment="1" pivotButton="0" quotePrefix="0" xfId="0">
      <alignment horizontal="left" vertical="center"/>
    </xf>
    <xf numFmtId="0" fontId="0" fillId="0" borderId="10" pivotButton="0" quotePrefix="0" xfId="0"/>
    <xf numFmtId="4" fontId="2" fillId="0" borderId="1" applyAlignment="1" pivotButton="0" quotePrefix="0" xfId="0">
      <alignment horizontal="right" vertical="center"/>
    </xf>
    <xf numFmtId="0" fontId="10" fillId="0" borderId="1" applyAlignment="1" pivotButton="0" quotePrefix="0" xfId="0">
      <alignment horizontal="left" vertical="center"/>
    </xf>
    <xf numFmtId="167" fontId="11" fillId="0" borderId="1" applyAlignment="1" pivotButton="0" quotePrefix="0" xfId="0">
      <alignment horizontal="left" vertical="center"/>
    </xf>
    <xf numFmtId="0" fontId="2" fillId="0" borderId="1" applyAlignment="1" pivotButton="0" quotePrefix="0" xfId="0">
      <alignment horizontal="center" vertical="center"/>
    </xf>
    <xf numFmtId="1" fontId="2" fillId="0" borderId="1" applyAlignment="1" pivotButton="0" quotePrefix="0" xfId="0">
      <alignment horizontal="left" vertical="center"/>
    </xf>
    <xf numFmtId="1" fontId="0" fillId="0" borderId="5" applyAlignment="1" pivotButton="0" quotePrefix="0" xfId="0">
      <alignment horizontal="left" vertical="center"/>
    </xf>
    <xf numFmtId="0" fontId="11" fillId="0" borderId="1" applyAlignment="1" pivotButton="0" quotePrefix="0" xfId="0">
      <alignment vertical="center"/>
    </xf>
    <xf numFmtId="0" fontId="2" fillId="0" borderId="1" applyAlignment="1" pivotButton="0" quotePrefix="0" xfId="0">
      <alignment vertical="center"/>
    </xf>
    <xf numFmtId="0" fontId="4" fillId="0" borderId="1" applyAlignment="1" pivotButton="0" quotePrefix="0" xfId="0">
      <alignment vertical="center"/>
    </xf>
    <xf numFmtId="0" fontId="7" fillId="0" borderId="1" applyAlignment="1" pivotButton="0" quotePrefix="0" xfId="0">
      <alignment horizontal="left" vertical="center"/>
    </xf>
    <xf numFmtId="49" fontId="2" fillId="0" borderId="1" applyAlignment="1" pivotButton="0" quotePrefix="0" xfId="0">
      <alignment horizontal="center" vertical="center"/>
    </xf>
    <xf numFmtId="4" fontId="12" fillId="0" borderId="1" applyAlignment="1" pivotButton="0" quotePrefix="0" xfId="0">
      <alignment horizontal="center" vertical="center"/>
    </xf>
    <xf numFmtId="0" fontId="12" fillId="0" borderId="1" applyAlignment="1" pivotButton="0" quotePrefix="0" xfId="0">
      <alignment horizontal="center" vertical="center"/>
    </xf>
    <xf numFmtId="4" fontId="4" fillId="0" borderId="1" applyAlignment="1" pivotButton="0" quotePrefix="0" xfId="0">
      <alignment horizontal="center" vertical="center"/>
    </xf>
    <xf numFmtId="0" fontId="4" fillId="0" borderId="1" applyAlignment="1" pivotButton="0" quotePrefix="0" xfId="0">
      <alignment horizontal="center" vertical="center"/>
    </xf>
    <xf numFmtId="0" fontId="0" fillId="0" borderId="0" applyAlignment="1" pivotButton="0" quotePrefix="0" xfId="0">
      <alignment horizontal="center" vertical="center" wrapText="1"/>
    </xf>
    <xf numFmtId="0" fontId="13" fillId="0" borderId="1" applyAlignment="1" pivotButton="0" quotePrefix="0" xfId="0">
      <alignment horizontal="left" vertical="center"/>
    </xf>
    <xf numFmtId="0" fontId="1" fillId="0" borderId="1" applyAlignment="1" pivotButton="0" quotePrefix="0" xfId="0">
      <alignment horizontal="left" vertical="center"/>
    </xf>
    <xf numFmtId="167" fontId="1" fillId="0" borderId="1" applyAlignment="1" pivotButton="0" quotePrefix="0" xfId="0">
      <alignment horizontal="left" vertical="center"/>
    </xf>
    <xf numFmtId="0" fontId="1" fillId="0" borderId="1" applyAlignment="1" pivotButton="0" quotePrefix="0" xfId="0">
      <alignment vertical="center"/>
    </xf>
    <xf numFmtId="0" fontId="14" fillId="0" borderId="11" pivotButton="0" quotePrefix="0" xfId="0"/>
    <xf numFmtId="168" fontId="14" fillId="0" borderId="11" pivotButton="0" quotePrefix="0" xfId="0"/>
    <xf numFmtId="3" fontId="14" fillId="0" borderId="11" applyAlignment="1" pivotButton="0" quotePrefix="0" xfId="0">
      <alignment horizontal="center" vertical="center" wrapText="1"/>
    </xf>
    <xf numFmtId="169" fontId="14" fillId="0" borderId="11" applyAlignment="1" pivotButton="0" quotePrefix="0" xfId="0">
      <alignment horizontal="center" vertical="center" wrapText="1"/>
    </xf>
    <xf numFmtId="169" fontId="15" fillId="0" borderId="11" applyAlignment="1" pivotButton="0" quotePrefix="0" xfId="0">
      <alignment horizontal="center" vertical="center" wrapText="1"/>
    </xf>
    <xf numFmtId="0" fontId="16" fillId="0" borderId="11" pivotButton="0" quotePrefix="0" xfId="0"/>
    <xf numFmtId="0" fontId="17" fillId="0" borderId="11" applyAlignment="1" pivotButton="0" quotePrefix="0" xfId="0">
      <alignment horizontal="center"/>
    </xf>
    <xf numFmtId="0" fontId="18" fillId="0" borderId="11" applyAlignment="1" pivotButton="0" quotePrefix="0" xfId="0">
      <alignment horizontal="center"/>
    </xf>
    <xf numFmtId="0" fontId="19" fillId="0" borderId="0" applyAlignment="1" pivotButton="0" quotePrefix="0" xfId="0">
      <alignment vertical="center"/>
    </xf>
    <xf numFmtId="0" fontId="20" fillId="0" borderId="0" applyAlignment="1" pivotButton="0" quotePrefix="0" xfId="0">
      <alignment vertical="center"/>
    </xf>
    <xf numFmtId="0" fontId="21" fillId="0" borderId="0" applyAlignment="1" pivotButton="0" quotePrefix="0" xfId="0">
      <alignment vertical="center"/>
    </xf>
    <xf numFmtId="0" fontId="20" fillId="0" borderId="0" applyAlignment="1" pivotButton="0" quotePrefix="0" xfId="0">
      <alignment horizontal="right"/>
    </xf>
    <xf numFmtId="0" fontId="22" fillId="0" borderId="0" applyAlignment="1" pivotButton="0" quotePrefix="0" xfId="0">
      <alignment horizontal="left" vertical="center"/>
    </xf>
    <xf numFmtId="0" fontId="23" fillId="0" borderId="12" pivotButton="0" quotePrefix="0" xfId="0"/>
    <xf numFmtId="0" fontId="20" fillId="0" borderId="12" pivotButton="0" quotePrefix="0" xfId="0"/>
    <xf numFmtId="0" fontId="24" fillId="0" borderId="12" applyAlignment="1" pivotButton="0" quotePrefix="0" xfId="0">
      <alignment horizontal="center"/>
    </xf>
    <xf numFmtId="0" fontId="0" fillId="0" borderId="12" pivotButton="0" quotePrefix="0" xfId="0"/>
    <xf numFmtId="0" fontId="20" fillId="0" borderId="12" applyAlignment="1" pivotButton="0" quotePrefix="0" xfId="0">
      <alignment horizontal="right"/>
    </xf>
    <xf numFmtId="0" fontId="26" fillId="0" borderId="13" applyAlignment="1" pivotButton="0" quotePrefix="0" xfId="0">
      <alignment vertical="center"/>
    </xf>
    <xf numFmtId="0" fontId="27" fillId="0" borderId="0" applyAlignment="1" pivotButton="0" quotePrefix="0" xfId="0">
      <alignment vertical="center"/>
    </xf>
    <xf numFmtId="0" fontId="27" fillId="0" borderId="14" applyAlignment="1" pivotButton="0" quotePrefix="0" xfId="0">
      <alignment vertical="center"/>
    </xf>
    <xf numFmtId="0" fontId="26" fillId="0" borderId="0" applyAlignment="1" pivotButton="0" quotePrefix="0" xfId="0">
      <alignment vertical="center"/>
    </xf>
    <xf numFmtId="0" fontId="26" fillId="0" borderId="15" applyAlignment="1" pivotButton="0" quotePrefix="0" xfId="0">
      <alignment vertical="center"/>
    </xf>
    <xf numFmtId="0" fontId="26" fillId="0" borderId="15" applyAlignment="1" pivotButton="0" quotePrefix="0" xfId="0">
      <alignment horizontal="center" vertical="center"/>
    </xf>
    <xf numFmtId="0" fontId="0" fillId="0" borderId="15" pivotButton="0" quotePrefix="0" xfId="0"/>
    <xf numFmtId="0" fontId="27" fillId="0" borderId="0" applyAlignment="1" pivotButton="0" quotePrefix="0" xfId="0">
      <alignment vertical="center" wrapText="1"/>
    </xf>
    <xf numFmtId="0" fontId="27" fillId="0" borderId="14" applyAlignment="1" pivotButton="0" quotePrefix="0" xfId="0">
      <alignment vertical="center" wrapText="1"/>
    </xf>
    <xf numFmtId="0" fontId="26" fillId="0" borderId="16" applyAlignment="1" pivotButton="0" quotePrefix="0" xfId="0">
      <alignment vertical="center"/>
    </xf>
    <xf numFmtId="0" fontId="20" fillId="0" borderId="17" pivotButton="0" quotePrefix="0" xfId="0"/>
    <xf numFmtId="0" fontId="26" fillId="0" borderId="0" applyAlignment="1" pivotButton="0" quotePrefix="0" xfId="0">
      <alignment vertical="top"/>
    </xf>
    <xf numFmtId="0" fontId="26" fillId="0" borderId="0" applyAlignment="1" pivotButton="0" quotePrefix="0" xfId="0">
      <alignment horizontal="center" vertical="center"/>
    </xf>
    <xf numFmtId="0" fontId="27" fillId="0" borderId="14" applyAlignment="1" pivotButton="0" quotePrefix="0" xfId="0">
      <alignment vertical="top" wrapText="1"/>
    </xf>
    <xf numFmtId="0" fontId="27" fillId="0" borderId="16" applyAlignment="1" pivotButton="0" quotePrefix="0" xfId="0">
      <alignment horizontal="left" vertical="center" wrapText="1"/>
    </xf>
    <xf numFmtId="170" fontId="27" fillId="0" borderId="0" applyAlignment="1" pivotButton="0" quotePrefix="0" xfId="0">
      <alignment vertical="center" wrapText="1"/>
    </xf>
    <xf numFmtId="170" fontId="27" fillId="0" borderId="14" applyAlignment="1" pivotButton="0" quotePrefix="0" xfId="0">
      <alignment horizontal="left" vertical="center" wrapText="1"/>
    </xf>
    <xf numFmtId="0" fontId="0" fillId="0" borderId="14" pivotButton="0" quotePrefix="0" xfId="0"/>
    <xf numFmtId="0" fontId="27" fillId="0" borderId="0" applyAlignment="1" pivotButton="0" quotePrefix="0" xfId="0">
      <alignment horizontal="left" vertical="center"/>
    </xf>
    <xf numFmtId="0" fontId="26" fillId="0" borderId="18" applyAlignment="1" pivotButton="0" quotePrefix="0" xfId="0">
      <alignment vertical="center"/>
    </xf>
    <xf numFmtId="0" fontId="26" fillId="0" borderId="19" applyAlignment="1" pivotButton="0" quotePrefix="0" xfId="0">
      <alignment vertical="top"/>
    </xf>
    <xf numFmtId="0" fontId="27" fillId="0" borderId="20" applyAlignment="1" pivotButton="0" quotePrefix="0" xfId="0">
      <alignment horizontal="center" vertical="center" wrapText="1"/>
    </xf>
    <xf numFmtId="0" fontId="0" fillId="0" borderId="19" pivotButton="0" quotePrefix="0" xfId="0"/>
    <xf numFmtId="0" fontId="0" fillId="0" borderId="20" pivotButton="0" quotePrefix="0" xfId="0"/>
    <xf numFmtId="0" fontId="26" fillId="0" borderId="21" applyAlignment="1" pivotButton="0" quotePrefix="0" xfId="0">
      <alignment horizontal="left" vertical="center" wrapText="1"/>
    </xf>
    <xf numFmtId="171" fontId="27" fillId="0" borderId="20" applyAlignment="1" pivotButton="0" quotePrefix="0" xfId="0">
      <alignment horizontal="left" vertical="center"/>
    </xf>
    <xf numFmtId="0" fontId="26" fillId="0" borderId="21" applyAlignment="1" pivotButton="0" quotePrefix="0" xfId="0">
      <alignment vertical="center"/>
    </xf>
    <xf numFmtId="0" fontId="26" fillId="0" borderId="19" applyAlignment="1" pivotButton="0" quotePrefix="0" xfId="0">
      <alignment vertical="center"/>
    </xf>
    <xf numFmtId="0" fontId="27" fillId="0" borderId="19" applyAlignment="1" pivotButton="0" quotePrefix="0" xfId="0">
      <alignment vertical="center"/>
    </xf>
    <xf numFmtId="0" fontId="20" fillId="0" borderId="22" pivotButton="0" quotePrefix="0" xfId="0"/>
    <xf numFmtId="0" fontId="26" fillId="0" borderId="23" applyAlignment="1" pivotButton="0" quotePrefix="0" xfId="0">
      <alignment horizontal="center" vertical="center"/>
    </xf>
    <xf numFmtId="0" fontId="0" fillId="0" borderId="24" pivotButton="0" quotePrefix="0" xfId="0"/>
    <xf numFmtId="0" fontId="20" fillId="0" borderId="17" applyAlignment="1" pivotButton="0" quotePrefix="0" xfId="0">
      <alignment vertical="center"/>
    </xf>
    <xf numFmtId="0" fontId="27" fillId="0" borderId="13" pivotButton="0" quotePrefix="0" xfId="0"/>
    <xf numFmtId="0" fontId="28" fillId="0" borderId="25" applyAlignment="1" pivotButton="0" quotePrefix="0" xfId="0">
      <alignment horizontal="center" vertical="center" wrapText="1"/>
    </xf>
    <xf numFmtId="1" fontId="27" fillId="0" borderId="25" applyAlignment="1" pivotButton="0" quotePrefix="0" xfId="0">
      <alignment horizontal="center" vertical="center" wrapText="1"/>
    </xf>
    <xf numFmtId="0" fontId="27" fillId="0" borderId="26" applyAlignment="1" pivotButton="0" quotePrefix="0" xfId="0">
      <alignment vertical="center"/>
    </xf>
    <xf numFmtId="0" fontId="27" fillId="0" borderId="27" applyAlignment="1" pivotButton="0" quotePrefix="0" xfId="0">
      <alignment vertical="center"/>
    </xf>
    <xf numFmtId="0" fontId="27" fillId="0" borderId="28" applyAlignment="1" pivotButton="0" quotePrefix="0" xfId="0">
      <alignment vertical="center"/>
    </xf>
    <xf numFmtId="0" fontId="27" fillId="0" borderId="27" applyAlignment="1" pivotButton="0" quotePrefix="0" xfId="0">
      <alignment horizontal="left" vertical="center"/>
    </xf>
    <xf numFmtId="0" fontId="20" fillId="0" borderId="29" pivotButton="0" quotePrefix="0" xfId="0"/>
    <xf numFmtId="0" fontId="27" fillId="0" borderId="13" applyAlignment="1" pivotButton="0" quotePrefix="0" xfId="0">
      <alignment vertical="center"/>
    </xf>
    <xf numFmtId="0" fontId="0" fillId="0" borderId="21" pivotButton="0" quotePrefix="0" xfId="0"/>
    <xf numFmtId="0" fontId="27" fillId="0" borderId="16" applyAlignment="1" pivotButton="0" quotePrefix="0" xfId="0">
      <alignment vertical="center"/>
    </xf>
    <xf numFmtId="0" fontId="27" fillId="0" borderId="0" applyAlignment="1" pivotButton="0" quotePrefix="0" xfId="0">
      <alignment horizontal="center" vertical="center"/>
    </xf>
    <xf numFmtId="0" fontId="27" fillId="0" borderId="14" applyAlignment="1" pivotButton="0" quotePrefix="0" xfId="0">
      <alignment horizontal="center" vertical="center"/>
    </xf>
    <xf numFmtId="0" fontId="27" fillId="0" borderId="13" applyAlignment="1" pivotButton="0" quotePrefix="0" xfId="0">
      <alignment vertical="center" wrapText="1"/>
    </xf>
    <xf numFmtId="0" fontId="29" fillId="0" borderId="0" applyAlignment="1" pivotButton="0" quotePrefix="0" xfId="0">
      <alignment vertical="center"/>
    </xf>
    <xf numFmtId="172" fontId="27" fillId="0" borderId="16" applyAlignment="1" pivotButton="0" quotePrefix="0" xfId="0">
      <alignment vertical="center"/>
    </xf>
    <xf numFmtId="172" fontId="27" fillId="0" borderId="0" applyAlignment="1" pivotButton="0" quotePrefix="0" xfId="0">
      <alignment vertical="center"/>
    </xf>
    <xf numFmtId="172" fontId="28" fillId="0" borderId="0" applyAlignment="1" pivotButton="0" quotePrefix="0" xfId="0">
      <alignment vertical="center"/>
    </xf>
    <xf numFmtId="172" fontId="27" fillId="0" borderId="14" applyAlignment="1" pivotButton="0" quotePrefix="0" xfId="0">
      <alignment vertical="center"/>
    </xf>
    <xf numFmtId="1" fontId="28" fillId="0" borderId="17" applyAlignment="1" pivotButton="0" quotePrefix="0" xfId="0">
      <alignment horizontal="center" vertical="center" shrinkToFit="1"/>
    </xf>
    <xf numFmtId="0" fontId="0" fillId="0" borderId="17" pivotButton="0" quotePrefix="0" xfId="0"/>
    <xf numFmtId="0" fontId="30" fillId="0" borderId="0" applyAlignment="1" pivotButton="0" quotePrefix="0" xfId="0">
      <alignment vertical="center"/>
    </xf>
    <xf numFmtId="14" fontId="28" fillId="0" borderId="0" applyAlignment="1" pivotButton="0" quotePrefix="0" xfId="0">
      <alignment horizontal="left" vertical="center"/>
    </xf>
    <xf numFmtId="14" fontId="28" fillId="0" borderId="17" applyAlignment="1" pivotButton="0" quotePrefix="0" xfId="0">
      <alignment horizontal="center" vertical="center"/>
    </xf>
    <xf numFmtId="0" fontId="28" fillId="0" borderId="0" applyAlignment="1" pivotButton="0" quotePrefix="0" xfId="0">
      <alignment vertical="center"/>
    </xf>
    <xf numFmtId="0" fontId="26" fillId="0" borderId="14" applyAlignment="1" pivotButton="0" quotePrefix="0" xfId="0">
      <alignment horizontal="center" vertical="center"/>
    </xf>
    <xf numFmtId="0" fontId="27" fillId="0" borderId="17" applyAlignment="1" pivotButton="0" quotePrefix="0" xfId="0">
      <alignment vertical="center"/>
    </xf>
    <xf numFmtId="0" fontId="27" fillId="0" borderId="30" pivotButton="0" quotePrefix="0" xfId="0"/>
    <xf numFmtId="0" fontId="27" fillId="0" borderId="27" applyAlignment="1" pivotButton="0" quotePrefix="0" xfId="0">
      <alignment vertical="center" wrapText="1"/>
    </xf>
    <xf numFmtId="0" fontId="27" fillId="0" borderId="28" applyAlignment="1" pivotButton="0" quotePrefix="0" xfId="0">
      <alignment vertical="center" wrapText="1"/>
    </xf>
    <xf numFmtId="0" fontId="27" fillId="0" borderId="11" applyAlignment="1" pivotButton="0" quotePrefix="0" xfId="0">
      <alignment horizontal="center" vertical="center" wrapText="1"/>
    </xf>
    <xf numFmtId="0" fontId="27" fillId="0" borderId="31" applyAlignment="1" pivotButton="0" quotePrefix="0" xfId="0">
      <alignment horizontal="left" vertical="center" wrapText="1" shrinkToFit="1" readingOrder="1"/>
    </xf>
    <xf numFmtId="0" fontId="0" fillId="0" borderId="27" pivotButton="0" quotePrefix="0" xfId="0"/>
    <xf numFmtId="0" fontId="0" fillId="0" borderId="28" pivotButton="0" quotePrefix="0" xfId="0"/>
    <xf numFmtId="0" fontId="27" fillId="0" borderId="31" applyAlignment="1" pivotButton="0" quotePrefix="0" xfId="0">
      <alignment horizontal="left" vertical="center" wrapText="1"/>
    </xf>
    <xf numFmtId="0" fontId="27" fillId="0" borderId="26" applyAlignment="1" pivotButton="0" quotePrefix="0" xfId="0">
      <alignment horizontal="left" vertical="center" wrapText="1"/>
    </xf>
    <xf numFmtId="0" fontId="0" fillId="0" borderId="32" pivotButton="0" quotePrefix="0" xfId="0"/>
    <xf numFmtId="0" fontId="0" fillId="0" borderId="16" pivotButton="0" quotePrefix="0" xfId="0"/>
    <xf numFmtId="0" fontId="27" fillId="0" borderId="0" applyAlignment="1" pivotButton="0" quotePrefix="0" xfId="0">
      <alignment horizontal="left" vertical="center" wrapText="1"/>
    </xf>
    <xf numFmtId="0" fontId="27" fillId="0" borderId="14" applyAlignment="1" pivotButton="0" quotePrefix="0" xfId="0">
      <alignment horizontal="center" vertical="center" wrapText="1"/>
    </xf>
    <xf numFmtId="1" fontId="27" fillId="0" borderId="14" applyAlignment="1" pivotButton="0" quotePrefix="0" xfId="0">
      <alignment horizontal="left" vertical="center"/>
    </xf>
    <xf numFmtId="0" fontId="27" fillId="0" borderId="16" applyAlignment="1" pivotButton="0" quotePrefix="0" xfId="0">
      <alignment horizontal="center" vertical="center" wrapText="1"/>
    </xf>
    <xf numFmtId="0" fontId="31" fillId="0" borderId="17" applyAlignment="1" pivotButton="0" quotePrefix="0" xfId="0">
      <alignment horizontal="left" vertical="center" wrapText="1"/>
    </xf>
    <xf numFmtId="0" fontId="32" fillId="0" borderId="0" applyAlignment="1" pivotButton="0" quotePrefix="0" xfId="0">
      <alignment vertical="center"/>
    </xf>
    <xf numFmtId="14" fontId="28" fillId="0" borderId="33" applyAlignment="1" pivotButton="0" quotePrefix="0" xfId="0">
      <alignment horizontal="center" vertical="center"/>
    </xf>
    <xf numFmtId="0" fontId="32" fillId="0" borderId="33" applyAlignment="1" pivotButton="0" quotePrefix="0" xfId="0">
      <alignment horizontal="center" vertical="center" shrinkToFit="1"/>
    </xf>
    <xf numFmtId="0" fontId="27" fillId="0" borderId="16" applyAlignment="1" pivotButton="0" quotePrefix="0" xfId="0">
      <alignment vertical="center" wrapText="1"/>
    </xf>
    <xf numFmtId="0" fontId="27" fillId="0" borderId="17" applyAlignment="1" pivotButton="0" quotePrefix="0" xfId="0">
      <alignment vertical="center" wrapText="1"/>
    </xf>
    <xf numFmtId="0" fontId="27" fillId="0" borderId="18" applyAlignment="1" pivotButton="0" quotePrefix="0" xfId="0">
      <alignment vertical="center" wrapText="1"/>
    </xf>
    <xf numFmtId="14" fontId="28" fillId="0" borderId="20" applyAlignment="1" pivotButton="0" quotePrefix="0" xfId="0">
      <alignment horizontal="center" vertical="center"/>
    </xf>
    <xf numFmtId="0" fontId="27" fillId="0" borderId="21" applyAlignment="1" pivotButton="0" quotePrefix="0" xfId="0">
      <alignment horizontal="center" vertical="center" wrapText="1"/>
    </xf>
    <xf numFmtId="14" fontId="27" fillId="0" borderId="20" applyAlignment="1" pivotButton="0" quotePrefix="0" xfId="0">
      <alignment horizontal="center" vertical="center"/>
    </xf>
    <xf numFmtId="0" fontId="27" fillId="0" borderId="21" applyAlignment="1" pivotButton="0" quotePrefix="0" xfId="0">
      <alignment horizontal="left" vertical="center" wrapText="1"/>
    </xf>
    <xf numFmtId="14" fontId="28" fillId="0" borderId="22" applyAlignment="1" pivotButton="0" quotePrefix="0" xfId="0">
      <alignment horizontal="center" vertical="center" wrapText="1"/>
    </xf>
    <xf numFmtId="0" fontId="0" fillId="0" borderId="22" pivotButton="0" quotePrefix="0" xfId="0"/>
    <xf numFmtId="0" fontId="27" fillId="0" borderId="0" applyAlignment="1" pivotButton="0" quotePrefix="0" xfId="0">
      <alignment horizontal="center" vertical="center" wrapText="1"/>
    </xf>
    <xf numFmtId="0" fontId="27" fillId="0" borderId="28" applyAlignment="1" pivotButton="0" quotePrefix="0" xfId="0">
      <alignment horizontal="left" vertical="center"/>
    </xf>
    <xf numFmtId="0" fontId="27" fillId="0" borderId="34" applyAlignment="1" pivotButton="0" quotePrefix="0" xfId="0">
      <alignment horizontal="left" vertical="center" wrapText="1"/>
    </xf>
    <xf numFmtId="0" fontId="0" fillId="0" borderId="29" pivotButton="0" quotePrefix="0" xfId="0"/>
    <xf numFmtId="0" fontId="27" fillId="0" borderId="14" applyAlignment="1" pivotButton="0" quotePrefix="0" xfId="0">
      <alignment horizontal="left" vertical="center"/>
    </xf>
    <xf numFmtId="0" fontId="27" fillId="0" borderId="16" applyAlignment="1" pivotButton="0" quotePrefix="0" xfId="0">
      <alignment horizontal="center" vertical="center"/>
    </xf>
    <xf numFmtId="0" fontId="27" fillId="0" borderId="35" applyAlignment="1" pivotButton="0" quotePrefix="0" xfId="0">
      <alignment horizontal="center" vertical="center" wrapText="1"/>
    </xf>
    <xf numFmtId="0" fontId="28" fillId="0" borderId="33" applyAlignment="1" pivotButton="0" quotePrefix="0" xfId="0">
      <alignment horizontal="center" vertical="center" wrapText="1"/>
    </xf>
    <xf numFmtId="0" fontId="27" fillId="0" borderId="16" applyAlignment="1" pivotButton="0" quotePrefix="0" xfId="0">
      <alignment horizontal="left" vertical="center"/>
    </xf>
    <xf numFmtId="0" fontId="27" fillId="0" borderId="17" applyAlignment="1" pivotButton="0" quotePrefix="0" xfId="0">
      <alignment horizontal="center" vertical="center"/>
    </xf>
    <xf numFmtId="0" fontId="0" fillId="0" borderId="13" pivotButton="0" quotePrefix="0" xfId="0"/>
    <xf numFmtId="0" fontId="20" fillId="0" borderId="36" applyAlignment="1" pivotButton="0" quotePrefix="0" xfId="0">
      <alignment horizontal="center" vertical="center" wrapText="1"/>
    </xf>
    <xf numFmtId="0" fontId="27" fillId="0" borderId="21" applyAlignment="1" pivotButton="0" quotePrefix="0" xfId="0">
      <alignment vertical="center"/>
    </xf>
    <xf numFmtId="0" fontId="27" fillId="0" borderId="11" applyAlignment="1" pivotButton="0" quotePrefix="0" xfId="0">
      <alignment horizontal="center" vertical="center"/>
    </xf>
    <xf numFmtId="0" fontId="27" fillId="0" borderId="37" applyAlignment="1" pivotButton="0" quotePrefix="0" xfId="0">
      <alignment horizontal="center" vertical="center"/>
    </xf>
    <xf numFmtId="0" fontId="27" fillId="0" borderId="38" applyAlignment="1" pivotButton="0" quotePrefix="0" xfId="0">
      <alignment vertical="center"/>
    </xf>
    <xf numFmtId="0" fontId="27" fillId="0" borderId="39" applyAlignment="1" pivotButton="0" quotePrefix="0" xfId="0">
      <alignment vertical="center"/>
    </xf>
    <xf numFmtId="0" fontId="27" fillId="0" borderId="39" applyAlignment="1" pivotButton="0" quotePrefix="0" xfId="0">
      <alignment horizontal="left" vertical="center"/>
    </xf>
    <xf numFmtId="0" fontId="26" fillId="0" borderId="39" applyAlignment="1" pivotButton="0" quotePrefix="0" xfId="0">
      <alignment horizontal="left" vertical="center"/>
    </xf>
    <xf numFmtId="0" fontId="26" fillId="0" borderId="0" applyAlignment="1" pivotButton="0" quotePrefix="0" xfId="0">
      <alignment horizontal="left" vertical="center"/>
    </xf>
    <xf numFmtId="0" fontId="26" fillId="0" borderId="14" applyAlignment="1" pivotButton="0" quotePrefix="0" xfId="0">
      <alignment vertical="center"/>
    </xf>
    <xf numFmtId="0" fontId="26" fillId="0" borderId="39" applyAlignment="1" pivotButton="0" quotePrefix="0" xfId="0">
      <alignment vertical="center"/>
    </xf>
    <xf numFmtId="0" fontId="27" fillId="0" borderId="32" applyAlignment="1" pivotButton="0" quotePrefix="0" xfId="0">
      <alignment horizontal="center" vertical="center"/>
    </xf>
    <xf numFmtId="0" fontId="27" fillId="0" borderId="33" applyAlignment="1" pivotButton="0" quotePrefix="0" xfId="0">
      <alignment horizontal="center" vertical="center" wrapText="1"/>
    </xf>
    <xf numFmtId="0" fontId="27" fillId="0" borderId="17" applyAlignment="1" pivotButton="0" quotePrefix="0" xfId="0">
      <alignment horizontal="center" vertical="center" wrapText="1"/>
    </xf>
    <xf numFmtId="39" fontId="32" fillId="0" borderId="32" applyAlignment="1" pivotButton="0" quotePrefix="0" xfId="0">
      <alignment horizontal="center" vertical="center" wrapText="1"/>
    </xf>
    <xf numFmtId="0" fontId="27" fillId="0" borderId="40" applyAlignment="1" pivotButton="0" quotePrefix="0" xfId="0">
      <alignment horizontal="center" vertical="center" wrapText="1"/>
    </xf>
    <xf numFmtId="3" fontId="27" fillId="0" borderId="20" applyAlignment="1" pivotButton="0" quotePrefix="0" xfId="0">
      <alignment horizontal="center" vertical="center" wrapText="1"/>
    </xf>
    <xf numFmtId="0" fontId="27" fillId="0" borderId="21" applyAlignment="1" pivotButton="0" quotePrefix="0" xfId="0">
      <alignment horizontal="left" vertical="center"/>
    </xf>
    <xf numFmtId="0" fontId="33" fillId="0" borderId="38" applyAlignment="1" pivotButton="0" quotePrefix="0" xfId="0">
      <alignment horizontal="center" vertical="center"/>
    </xf>
    <xf numFmtId="0" fontId="33" fillId="0" borderId="31" applyAlignment="1" pivotButton="0" quotePrefix="0" xfId="0">
      <alignment horizontal="center" vertical="center"/>
    </xf>
    <xf numFmtId="0" fontId="33" fillId="0" borderId="28" applyAlignment="1" pivotButton="0" quotePrefix="0" xfId="0">
      <alignment horizontal="center" vertical="center"/>
    </xf>
    <xf numFmtId="0" fontId="33" fillId="0" borderId="34" applyAlignment="1" pivotButton="0" quotePrefix="0" xfId="0">
      <alignment horizontal="center" vertical="center"/>
    </xf>
    <xf numFmtId="0" fontId="33" fillId="0" borderId="41" applyAlignment="1" pivotButton="0" quotePrefix="0" xfId="0">
      <alignment horizontal="center" vertical="center"/>
    </xf>
    <xf numFmtId="0" fontId="33" fillId="0" borderId="32" applyAlignment="1" pivotButton="0" quotePrefix="0" xfId="0">
      <alignment horizontal="center" vertical="center"/>
    </xf>
    <xf numFmtId="0" fontId="33" fillId="0" borderId="40" applyAlignment="1" pivotButton="0" quotePrefix="0" xfId="0">
      <alignment horizontal="center" vertical="center"/>
    </xf>
    <xf numFmtId="0" fontId="33" fillId="0" borderId="42" applyAlignment="1" pivotButton="0" quotePrefix="0" xfId="0">
      <alignment horizontal="center" vertical="center"/>
    </xf>
    <xf numFmtId="0" fontId="34" fillId="0" borderId="43" applyAlignment="1" pivotButton="0" quotePrefix="0" xfId="0">
      <alignment horizontal="left" vertical="center" wrapText="1"/>
    </xf>
    <xf numFmtId="0" fontId="0" fillId="0" borderId="44" pivotButton="0" quotePrefix="0" xfId="0"/>
    <xf numFmtId="0" fontId="0" fillId="0" borderId="45" pivotButton="0" quotePrefix="0" xfId="0"/>
    <xf numFmtId="174" fontId="27" fillId="0" borderId="43" applyAlignment="1" pivotButton="0" quotePrefix="0" xfId="0">
      <alignment horizontal="center" vertical="center" wrapText="1"/>
    </xf>
    <xf numFmtId="0" fontId="28" fillId="0" borderId="43" applyAlignment="1" pivotButton="0" quotePrefix="0" xfId="0">
      <alignment horizontal="center" vertical="center"/>
    </xf>
    <xf numFmtId="4" fontId="28" fillId="0" borderId="43" applyAlignment="1" pivotButton="0" quotePrefix="0" xfId="0">
      <alignment horizontal="right" vertical="center" wrapText="1"/>
    </xf>
    <xf numFmtId="0" fontId="34" fillId="0" borderId="43" applyAlignment="1" pivotButton="0" quotePrefix="0" xfId="0">
      <alignment horizontal="center" vertical="center" wrapText="1"/>
    </xf>
    <xf numFmtId="43" fontId="28" fillId="0" borderId="43" applyAlignment="1" pivotButton="0" quotePrefix="0" xfId="0">
      <alignment horizontal="right" vertical="center" wrapText="1"/>
    </xf>
    <xf numFmtId="175" fontId="28" fillId="0" borderId="46" applyAlignment="1" pivotButton="0" quotePrefix="0" xfId="0">
      <alignment horizontal="right" vertical="center"/>
    </xf>
    <xf numFmtId="0" fontId="0" fillId="0" borderId="47" pivotButton="0" quotePrefix="0" xfId="0"/>
    <xf numFmtId="0" fontId="32" fillId="0" borderId="48" applyAlignment="1" pivotButton="0" quotePrefix="0" xfId="0">
      <alignment horizontal="center" vertical="center"/>
    </xf>
    <xf numFmtId="0" fontId="35" fillId="0" borderId="49" applyAlignment="1" pivotButton="0" quotePrefix="0" xfId="0">
      <alignment horizontal="left" vertical="center" wrapText="1"/>
    </xf>
    <xf numFmtId="0" fontId="0" fillId="0" borderId="50" pivotButton="0" quotePrefix="0" xfId="0"/>
    <xf numFmtId="0" fontId="0" fillId="0" borderId="51" pivotButton="0" quotePrefix="0" xfId="0"/>
    <xf numFmtId="174" fontId="27" fillId="0" borderId="49" applyAlignment="1" pivotButton="0" quotePrefix="0" xfId="0">
      <alignment horizontal="center" vertical="center" wrapText="1"/>
    </xf>
    <xf numFmtId="0" fontId="28" fillId="0" borderId="49" applyAlignment="1" pivotButton="0" quotePrefix="0" xfId="0">
      <alignment horizontal="center" vertical="center"/>
    </xf>
    <xf numFmtId="4" fontId="28" fillId="0" borderId="49" applyAlignment="1" pivotButton="0" quotePrefix="0" xfId="0">
      <alignment horizontal="right" vertical="center" wrapText="1"/>
    </xf>
    <xf numFmtId="0" fontId="34" fillId="0" borderId="49" applyAlignment="1" pivotButton="0" quotePrefix="0" xfId="0">
      <alignment horizontal="center" vertical="center" wrapText="1"/>
    </xf>
    <xf numFmtId="43" fontId="28" fillId="0" borderId="49" applyAlignment="1" pivotButton="0" quotePrefix="0" xfId="0">
      <alignment horizontal="right" vertical="center" wrapText="1"/>
    </xf>
    <xf numFmtId="175" fontId="28" fillId="0" borderId="52" applyAlignment="1" pivotButton="0" quotePrefix="0" xfId="0">
      <alignment horizontal="right" vertical="center"/>
    </xf>
    <xf numFmtId="0" fontId="0" fillId="0" borderId="53" pivotButton="0" quotePrefix="0" xfId="0"/>
    <xf numFmtId="0" fontId="32" fillId="0" borderId="54" applyAlignment="1" pivotButton="0" quotePrefix="0" xfId="0">
      <alignment horizontal="center" vertical="center"/>
    </xf>
    <xf numFmtId="176" fontId="28" fillId="0" borderId="55" applyAlignment="1" pivotButton="0" quotePrefix="0" xfId="0">
      <alignment horizontal="center" vertical="center" shrinkToFit="1"/>
    </xf>
    <xf numFmtId="0" fontId="0" fillId="0" borderId="56" pivotButton="0" quotePrefix="0" xfId="0"/>
    <xf numFmtId="0" fontId="0" fillId="0" borderId="57" pivotButton="0" quotePrefix="0" xfId="0"/>
    <xf numFmtId="0" fontId="33" fillId="0" borderId="58" applyAlignment="1" pivotButton="0" quotePrefix="0" xfId="0">
      <alignment horizontal="center" vertical="center"/>
    </xf>
    <xf numFmtId="0" fontId="0" fillId="0" borderId="59" pivotButton="0" quotePrefix="0" xfId="0"/>
    <xf numFmtId="177" fontId="30" fillId="0" borderId="59" applyAlignment="1" pivotButton="0" quotePrefix="0" xfId="0">
      <alignment horizontal="center" vertical="center"/>
    </xf>
    <xf numFmtId="178" fontId="30" fillId="0" borderId="59" applyAlignment="1" pivotButton="0" quotePrefix="0" xfId="0">
      <alignment horizontal="center" vertical="center"/>
    </xf>
    <xf numFmtId="179" fontId="34" fillId="0" borderId="60" applyAlignment="1" pivotButton="0" quotePrefix="0" xfId="0">
      <alignment vertical="center"/>
    </xf>
    <xf numFmtId="179" fontId="30" fillId="0" borderId="59" applyAlignment="1" pivotButton="0" quotePrefix="0" xfId="0">
      <alignment vertical="center"/>
    </xf>
    <xf numFmtId="180" fontId="36" fillId="0" borderId="61" applyAlignment="1" pivotButton="0" quotePrefix="0" xfId="0">
      <alignment vertical="center"/>
    </xf>
    <xf numFmtId="0" fontId="36" fillId="0" borderId="61" applyAlignment="1" pivotButton="0" quotePrefix="0" xfId="0">
      <alignment vertical="center"/>
    </xf>
    <xf numFmtId="0" fontId="36" fillId="0" borderId="62" applyAlignment="1" pivotButton="0" quotePrefix="0" xfId="0">
      <alignment vertical="center"/>
    </xf>
    <xf numFmtId="175" fontId="30" fillId="0" borderId="63" applyAlignment="1" pivotButton="0" quotePrefix="0" xfId="0">
      <alignment horizontal="right" vertical="center"/>
    </xf>
    <xf numFmtId="0" fontId="0" fillId="0" borderId="61" pivotButton="0" quotePrefix="0" xfId="0"/>
    <xf numFmtId="0" fontId="0" fillId="0" borderId="64" pivotButton="0" quotePrefix="0" xfId="0"/>
    <xf numFmtId="0" fontId="27" fillId="0" borderId="13" applyAlignment="1" pivotButton="0" quotePrefix="0" xfId="0">
      <alignment horizontal="center" vertical="center"/>
    </xf>
    <xf numFmtId="0" fontId="33" fillId="0" borderId="11" applyAlignment="1" pivotButton="0" quotePrefix="0" xfId="0">
      <alignment horizontal="center" vertical="center"/>
    </xf>
    <xf numFmtId="0" fontId="0" fillId="0" borderId="65" pivotButton="0" quotePrefix="0" xfId="0"/>
    <xf numFmtId="0" fontId="33" fillId="0" borderId="37" applyAlignment="1" pivotButton="0" quotePrefix="0" xfId="0">
      <alignment horizontal="center" vertical="center"/>
    </xf>
    <xf numFmtId="0" fontId="0" fillId="0" borderId="66" pivotButton="0" quotePrefix="0" xfId="0"/>
    <xf numFmtId="0" fontId="27" fillId="0" borderId="41" applyAlignment="1" pivotButton="0" quotePrefix="0" xfId="0">
      <alignment horizontal="center" vertical="center"/>
    </xf>
    <xf numFmtId="0" fontId="33" fillId="0" borderId="11" applyAlignment="1" pivotButton="0" quotePrefix="0" xfId="0">
      <alignment horizontal="center" vertical="center" wrapText="1"/>
    </xf>
    <xf numFmtId="0" fontId="33" fillId="0" borderId="37" applyAlignment="1" pivotButton="0" quotePrefix="0" xfId="0">
      <alignment horizontal="center" vertical="center" wrapText="1"/>
    </xf>
    <xf numFmtId="3" fontId="34" fillId="0" borderId="43" applyAlignment="1" pivotButton="0" quotePrefix="0" xfId="0">
      <alignment horizontal="right" vertical="center"/>
    </xf>
    <xf numFmtId="9" fontId="20" fillId="0" borderId="43" applyAlignment="1" pivotButton="0" quotePrefix="0" xfId="0">
      <alignment horizontal="center" vertical="center"/>
    </xf>
    <xf numFmtId="3" fontId="37" fillId="0" borderId="67" applyAlignment="1" pivotButton="0" quotePrefix="0" xfId="0">
      <alignment vertical="center"/>
    </xf>
    <xf numFmtId="3" fontId="38" fillId="0" borderId="68" applyAlignment="1" pivotButton="0" quotePrefix="0" xfId="0">
      <alignment vertical="center"/>
    </xf>
    <xf numFmtId="3" fontId="38" fillId="0" borderId="69" applyAlignment="1" pivotButton="0" quotePrefix="0" xfId="0">
      <alignment vertical="center"/>
    </xf>
    <xf numFmtId="9" fontId="39" fillId="0" borderId="67" applyAlignment="1" pivotButton="0" quotePrefix="0" xfId="0">
      <alignment vertical="center"/>
    </xf>
    <xf numFmtId="9" fontId="39" fillId="0" borderId="68" applyAlignment="1" pivotButton="0" quotePrefix="0" xfId="0">
      <alignment vertical="center"/>
    </xf>
    <xf numFmtId="9" fontId="39" fillId="0" borderId="69" applyAlignment="1" pivotButton="0" quotePrefix="0" xfId="0">
      <alignment vertical="center"/>
    </xf>
    <xf numFmtId="3" fontId="38" fillId="0" borderId="67" applyAlignment="1" pivotButton="0" quotePrefix="0" xfId="0">
      <alignment vertical="center"/>
    </xf>
    <xf numFmtId="3" fontId="34" fillId="0" borderId="68" applyAlignment="1" pivotButton="0" quotePrefix="0" xfId="0">
      <alignment vertical="center"/>
    </xf>
    <xf numFmtId="3" fontId="34" fillId="0" borderId="69" applyAlignment="1" pivotButton="0" quotePrefix="0" xfId="0">
      <alignment vertical="center"/>
    </xf>
    <xf numFmtId="0" fontId="20" fillId="0" borderId="46" applyAlignment="1" pivotButton="0" quotePrefix="0" xfId="0">
      <alignment horizontal="right" vertical="center"/>
    </xf>
    <xf numFmtId="3" fontId="37" fillId="0" borderId="70" applyAlignment="1" pivotButton="0" quotePrefix="0" xfId="0">
      <alignment vertical="center"/>
    </xf>
    <xf numFmtId="3" fontId="38" fillId="0" borderId="50" applyAlignment="1" pivotButton="0" quotePrefix="0" xfId="0">
      <alignment vertical="center"/>
    </xf>
    <xf numFmtId="3" fontId="38" fillId="0" borderId="51" applyAlignment="1" pivotButton="0" quotePrefix="0" xfId="0">
      <alignment vertical="center"/>
    </xf>
    <xf numFmtId="9" fontId="39" fillId="0" borderId="70" applyAlignment="1" pivotButton="0" quotePrefix="0" xfId="0">
      <alignment vertical="center"/>
    </xf>
    <xf numFmtId="9" fontId="39" fillId="0" borderId="50" applyAlignment="1" pivotButton="0" quotePrefix="0" xfId="0">
      <alignment vertical="center"/>
    </xf>
    <xf numFmtId="9" fontId="39" fillId="0" borderId="51" applyAlignment="1" pivotButton="0" quotePrefix="0" xfId="0">
      <alignment vertical="center"/>
    </xf>
    <xf numFmtId="3" fontId="38" fillId="0" borderId="70" applyAlignment="1" pivotButton="0" quotePrefix="0" xfId="0">
      <alignment vertical="center"/>
    </xf>
    <xf numFmtId="3" fontId="34" fillId="0" borderId="50" applyAlignment="1" pivotButton="0" quotePrefix="0" xfId="0">
      <alignment vertical="center"/>
    </xf>
    <xf numFmtId="3" fontId="34" fillId="0" borderId="51" applyAlignment="1" pivotButton="0" quotePrefix="0" xfId="0">
      <alignment vertical="center"/>
    </xf>
    <xf numFmtId="0" fontId="20" fillId="0" borderId="52" applyAlignment="1" pivotButton="0" quotePrefix="0" xfId="0">
      <alignment horizontal="right" vertical="center"/>
    </xf>
    <xf numFmtId="9" fontId="20" fillId="0" borderId="49" applyAlignment="1" pivotButton="0" quotePrefix="0" xfId="0">
      <alignment horizontal="center" vertical="center"/>
    </xf>
    <xf numFmtId="0" fontId="33" fillId="0" borderId="71" applyAlignment="1" pivotButton="0" quotePrefix="0" xfId="0">
      <alignment horizontal="center" vertical="center"/>
    </xf>
    <xf numFmtId="0" fontId="40" fillId="0" borderId="19" applyAlignment="1" pivotButton="0" quotePrefix="0" xfId="0">
      <alignment vertical="center"/>
    </xf>
    <xf numFmtId="0" fontId="33" fillId="0" borderId="19" applyAlignment="1" pivotButton="0" quotePrefix="0" xfId="0">
      <alignment vertical="center"/>
    </xf>
    <xf numFmtId="0" fontId="33" fillId="0" borderId="61" applyAlignment="1" pivotButton="0" quotePrefix="0" xfId="0">
      <alignment vertical="center"/>
    </xf>
    <xf numFmtId="0" fontId="33" fillId="0" borderId="20" applyAlignment="1" pivotButton="0" quotePrefix="0" xfId="0">
      <alignment vertical="center"/>
    </xf>
    <xf numFmtId="3" fontId="34" fillId="0" borderId="72" applyAlignment="1" pivotButton="0" quotePrefix="0" xfId="0">
      <alignment horizontal="right" vertical="center"/>
    </xf>
    <xf numFmtId="0" fontId="0" fillId="0" borderId="62" pivotButton="0" quotePrefix="0" xfId="0"/>
    <xf numFmtId="0" fontId="33" fillId="0" borderId="63" applyAlignment="1" pivotButton="0" quotePrefix="0" xfId="0">
      <alignment horizontal="right" vertical="center"/>
    </xf>
    <xf numFmtId="0" fontId="33" fillId="0" borderId="0" applyAlignment="1" pivotButton="0" quotePrefix="0" xfId="0">
      <alignment vertical="center"/>
    </xf>
    <xf numFmtId="0" fontId="40" fillId="0" borderId="0" applyAlignment="1" pivotButton="0" quotePrefix="0" xfId="0">
      <alignment vertical="center"/>
    </xf>
    <xf numFmtId="0" fontId="33" fillId="0" borderId="0" applyAlignment="1" pivotButton="0" quotePrefix="0" xfId="0">
      <alignment vertical="center" wrapText="1"/>
    </xf>
    <xf numFmtId="0" fontId="40" fillId="0" borderId="27" applyAlignment="1" pivotButton="0" quotePrefix="0" xfId="0">
      <alignment vertical="center" wrapText="1"/>
    </xf>
    <xf numFmtId="3" fontId="30" fillId="0" borderId="27" applyAlignment="1" pivotButton="0" quotePrefix="0" xfId="0">
      <alignment horizontal="center" vertical="center" wrapText="1"/>
    </xf>
    <xf numFmtId="0" fontId="40" fillId="0" borderId="29" applyAlignment="1" pivotButton="0" quotePrefix="0" xfId="0">
      <alignment vertical="center" wrapText="1"/>
    </xf>
    <xf numFmtId="0" fontId="41" fillId="0" borderId="0" applyAlignment="1" pivotButton="0" quotePrefix="0" xfId="0">
      <alignment vertical="center"/>
    </xf>
    <xf numFmtId="0" fontId="33" fillId="0" borderId="17" applyAlignment="1" pivotButton="0" quotePrefix="0" xfId="0">
      <alignment vertical="center"/>
    </xf>
    <xf numFmtId="0" fontId="27" fillId="0" borderId="38" applyAlignment="1" pivotButton="0" quotePrefix="0" xfId="0">
      <alignment horizontal="left" vertical="center"/>
    </xf>
    <xf numFmtId="0" fontId="20" fillId="0" borderId="39" applyAlignment="1" pivotButton="0" quotePrefix="0" xfId="0">
      <alignment horizontal="left" vertical="center"/>
    </xf>
    <xf numFmtId="0" fontId="20" fillId="0" borderId="39" applyAlignment="1" pivotButton="0" quotePrefix="0" xfId="0">
      <alignment vertical="center"/>
    </xf>
    <xf numFmtId="0" fontId="20" fillId="0" borderId="73" applyAlignment="1" pivotButton="0" quotePrefix="0" xfId="0">
      <alignment horizontal="left" vertical="center"/>
    </xf>
    <xf numFmtId="0" fontId="27" fillId="0" borderId="29" applyAlignment="1" pivotButton="0" quotePrefix="0" xfId="0">
      <alignment vertical="center"/>
    </xf>
    <xf numFmtId="0" fontId="42" fillId="0" borderId="13" applyAlignment="1" pivotButton="0" quotePrefix="0" xfId="0">
      <alignment horizontal="left" vertical="center"/>
    </xf>
    <xf numFmtId="0" fontId="42" fillId="0" borderId="0" applyAlignment="1" pivotButton="0" quotePrefix="0" xfId="0">
      <alignment horizontal="left" vertical="center"/>
    </xf>
    <xf numFmtId="0" fontId="20" fillId="0" borderId="44" applyAlignment="1" pivotButton="0" quotePrefix="0" xfId="0">
      <alignment vertical="center"/>
    </xf>
    <xf numFmtId="0" fontId="20" fillId="0" borderId="14" applyAlignment="1" pivotButton="0" quotePrefix="0" xfId="0">
      <alignment vertical="center"/>
    </xf>
    <xf numFmtId="0" fontId="27" fillId="0" borderId="13" applyAlignment="1" pivotButton="0" quotePrefix="0" xfId="0">
      <alignment horizontal="left" vertical="center"/>
    </xf>
    <xf numFmtId="0" fontId="20" fillId="0" borderId="50" applyAlignment="1" pivotButton="0" quotePrefix="0" xfId="0">
      <alignment vertical="center"/>
    </xf>
    <xf numFmtId="0" fontId="20" fillId="0" borderId="0" applyAlignment="1" pivotButton="0" quotePrefix="0" xfId="0">
      <alignment horizontal="left" vertical="center"/>
    </xf>
    <xf numFmtId="0" fontId="23" fillId="0" borderId="50" applyAlignment="1" pivotButton="0" quotePrefix="0" xfId="0">
      <alignment vertical="center"/>
    </xf>
    <xf numFmtId="0" fontId="27" fillId="0" borderId="74" applyAlignment="1" pivotButton="0" quotePrefix="0" xfId="0">
      <alignment vertical="center"/>
    </xf>
    <xf numFmtId="0" fontId="27" fillId="0" borderId="12" applyAlignment="1" pivotButton="0" quotePrefix="0" xfId="0">
      <alignment vertical="center"/>
    </xf>
    <xf numFmtId="0" fontId="20" fillId="0" borderId="12" applyAlignment="1" pivotButton="0" quotePrefix="0" xfId="0">
      <alignment vertical="center"/>
    </xf>
    <xf numFmtId="0" fontId="20" fillId="0" borderId="75" applyAlignment="1" pivotButton="0" quotePrefix="0" xfId="0">
      <alignment vertical="center"/>
    </xf>
    <xf numFmtId="0" fontId="27" fillId="0" borderId="76" applyAlignment="1" pivotButton="0" quotePrefix="0" xfId="0">
      <alignment horizontal="center" vertical="center"/>
    </xf>
    <xf numFmtId="0" fontId="0" fillId="0" borderId="77" pivotButton="0" quotePrefix="0" xfId="0"/>
    <xf numFmtId="0" fontId="43" fillId="0" borderId="0" applyAlignment="1" pivotButton="0" quotePrefix="0" xfId="0">
      <alignment horizontal="left"/>
    </xf>
    <xf numFmtId="0" fontId="43" fillId="0" borderId="0" pivotButton="0" quotePrefix="0" xfId="0"/>
    <xf numFmtId="0" fontId="39" fillId="0" borderId="0" applyAlignment="1" pivotButton="0" quotePrefix="0" xfId="0">
      <alignment horizontal="left"/>
    </xf>
    <xf numFmtId="0" fontId="43" fillId="0" borderId="0" applyAlignment="1" pivotButton="0" quotePrefix="0" xfId="0">
      <alignment horizontal="center" vertical="top"/>
    </xf>
    <xf numFmtId="14" fontId="39" fillId="0" borderId="0" applyAlignment="1" pivotButton="0" quotePrefix="0" xfId="0">
      <alignment horizontal="right"/>
    </xf>
    <xf numFmtId="0" fontId="43" fillId="0" borderId="0" applyAlignment="1" pivotButton="0" quotePrefix="0" xfId="0">
      <alignment vertical="top"/>
    </xf>
    <xf numFmtId="181" fontId="44" fillId="0" borderId="0" applyAlignment="1" pivotButton="0" quotePrefix="0" xfId="0">
      <alignment horizontal="center"/>
    </xf>
    <xf numFmtId="0" fontId="39" fillId="0" borderId="0" applyAlignment="1" pivotButton="0" quotePrefix="0" xfId="0">
      <alignment horizontal="left" vertical="top"/>
    </xf>
    <xf numFmtId="0" fontId="45" fillId="0" borderId="0" pivotButton="0" quotePrefix="0" xfId="0"/>
    <xf numFmtId="0" fontId="46" fillId="0" borderId="0" pivotButton="0" quotePrefix="0" xfId="0"/>
    <xf numFmtId="0" fontId="44" fillId="0" borderId="0" applyAlignment="1" pivotButton="0" quotePrefix="0" xfId="0">
      <alignment horizontal="right"/>
    </xf>
    <xf numFmtId="1" fontId="44" fillId="0" borderId="0" applyAlignment="1" pivotButton="0" quotePrefix="0" xfId="0">
      <alignment horizontal="right" vertical="top"/>
    </xf>
    <xf numFmtId="0" fontId="44" fillId="0" borderId="0" pivotButton="0" quotePrefix="0" xfId="0"/>
    <xf numFmtId="0" fontId="44" fillId="0" borderId="0" applyAlignment="1" pivotButton="0" quotePrefix="0" xfId="0">
      <alignment vertical="top"/>
    </xf>
    <xf numFmtId="14" fontId="44" fillId="0" borderId="0" applyAlignment="1" pivotButton="0" quotePrefix="0" xfId="0">
      <alignment horizontal="right"/>
    </xf>
    <xf numFmtId="182" fontId="44" fillId="0" borderId="0" applyAlignment="1" pivotButton="0" quotePrefix="0" xfId="0">
      <alignment horizontal="right" vertical="top"/>
    </xf>
    <xf numFmtId="14" fontId="44" fillId="0" borderId="0" applyAlignment="1" pivotButton="0" quotePrefix="0" xfId="0">
      <alignment horizontal="right" vertical="top"/>
    </xf>
    <xf numFmtId="0" fontId="47" fillId="0" borderId="0" applyAlignment="1" pivotButton="0" quotePrefix="0" xfId="0">
      <alignment horizontal="right" wrapText="1"/>
    </xf>
    <xf numFmtId="0" fontId="44" fillId="0" borderId="0" applyAlignment="1" pivotButton="0" quotePrefix="0" xfId="0">
      <alignment horizontal="right" vertical="top"/>
    </xf>
    <xf numFmtId="0" fontId="47" fillId="0" borderId="0" applyAlignment="1" pivotButton="0" quotePrefix="0" xfId="0">
      <alignment horizontal="left" vertical="top" wrapText="1"/>
    </xf>
    <xf numFmtId="1" fontId="44" fillId="0" borderId="0" applyAlignment="1" pivotButton="0" quotePrefix="0" xfId="0">
      <alignment horizontal="center" vertical="top"/>
    </xf>
    <xf numFmtId="182" fontId="44" fillId="0" borderId="0" applyAlignment="1" pivotButton="0" quotePrefix="0" xfId="0">
      <alignment horizontal="center" vertical="top"/>
    </xf>
    <xf numFmtId="14" fontId="44" fillId="0" borderId="0" applyAlignment="1" pivotButton="0" quotePrefix="0" xfId="0">
      <alignment horizontal="left" vertical="top"/>
    </xf>
    <xf numFmtId="0" fontId="46" fillId="0" borderId="0" applyAlignment="1" pivotButton="0" quotePrefix="0" xfId="0">
      <alignment horizontal="center"/>
    </xf>
    <xf numFmtId="0" fontId="46" fillId="0" borderId="0" applyAlignment="1" pivotButton="0" quotePrefix="0" xfId="0">
      <alignment horizontal="right" vertical="center"/>
    </xf>
    <xf numFmtId="0" fontId="46" fillId="0" borderId="0" applyAlignment="1" pivotButton="0" quotePrefix="0" xfId="0">
      <alignment horizontal="center" vertical="justify" wrapText="1"/>
    </xf>
    <xf numFmtId="0" fontId="46" fillId="0" borderId="0" applyAlignment="1" pivotButton="0" quotePrefix="0" xfId="0">
      <alignment horizontal="center" vertical="center"/>
    </xf>
    <xf numFmtId="0" fontId="46" fillId="0" borderId="0" applyAlignment="1" pivotButton="0" quotePrefix="0" xfId="0">
      <alignment horizontal="left" vertical="center"/>
    </xf>
    <xf numFmtId="0" fontId="46" fillId="0" borderId="0" applyAlignment="1" pivotButton="0" quotePrefix="0" xfId="0">
      <alignment vertical="center"/>
    </xf>
    <xf numFmtId="0" fontId="39" fillId="0" borderId="0" applyAlignment="1" pivotButton="0" quotePrefix="0" xfId="0">
      <alignment horizontal="center"/>
    </xf>
    <xf numFmtId="183" fontId="48" fillId="0" borderId="0" applyAlignment="1" pivotButton="0" quotePrefix="0" xfId="0">
      <alignment horizontal="center"/>
    </xf>
    <xf numFmtId="0" fontId="49" fillId="0" borderId="0" applyAlignment="1" pivotButton="0" quotePrefix="0" xfId="0">
      <alignment horizontal="center"/>
    </xf>
    <xf numFmtId="4" fontId="50" fillId="0" borderId="0" applyAlignment="1" pivotButton="0" quotePrefix="0" xfId="0">
      <alignment horizontal="center" vertical="center"/>
    </xf>
    <xf numFmtId="184" fontId="47" fillId="0" borderId="0" applyAlignment="1" pivotButton="0" quotePrefix="0" xfId="0">
      <alignment horizontal="center" vertical="center"/>
    </xf>
    <xf numFmtId="185" fontId="39" fillId="0" borderId="0" pivotButton="0" quotePrefix="0" xfId="0"/>
    <xf numFmtId="186" fontId="49" fillId="0" borderId="0" applyAlignment="1" pivotButton="0" quotePrefix="0" xfId="0">
      <alignment horizontal="left" vertical="center" wrapText="1"/>
    </xf>
    <xf numFmtId="187" fontId="27" fillId="0" borderId="0" applyAlignment="1" pivotButton="0" quotePrefix="0" xfId="0">
      <alignment horizontal="right" vertical="center"/>
    </xf>
    <xf numFmtId="43" fontId="27" fillId="0" borderId="0" applyAlignment="1" pivotButton="0" quotePrefix="0" xfId="0">
      <alignment horizontal="center" vertical="center"/>
    </xf>
    <xf numFmtId="3" fontId="27" fillId="0" borderId="0" applyAlignment="1" pivotButton="0" quotePrefix="0" xfId="0">
      <alignment horizontal="center" vertical="center"/>
    </xf>
    <xf numFmtId="188" fontId="51" fillId="0" borderId="0" applyAlignment="1" pivotButton="0" quotePrefix="0" xfId="0">
      <alignment horizontal="center" vertical="center"/>
    </xf>
    <xf numFmtId="184" fontId="31" fillId="0" borderId="0" applyAlignment="1" pivotButton="0" quotePrefix="0" xfId="0">
      <alignment horizontal="center" vertical="center"/>
    </xf>
    <xf numFmtId="175" fontId="27" fillId="0" borderId="0" applyAlignment="1" pivotButton="0" quotePrefix="0" xfId="0">
      <alignment horizontal="right" vertical="center"/>
    </xf>
    <xf numFmtId="189" fontId="20" fillId="0" borderId="0" applyAlignment="1" pivotButton="0" quotePrefix="0" xfId="0">
      <alignment horizontal="center" vertical="center"/>
    </xf>
    <xf numFmtId="186" fontId="52" fillId="0" borderId="0" applyAlignment="1" pivotButton="0" quotePrefix="0" xfId="0">
      <alignment horizontal="left" vertical="center" wrapText="1"/>
    </xf>
    <xf numFmtId="186" fontId="27" fillId="0" borderId="0" applyAlignment="1" pivotButton="0" quotePrefix="0" xfId="0">
      <alignment horizontal="left" vertical="center"/>
    </xf>
    <xf numFmtId="0" fontId="53" fillId="0" borderId="0" pivotButton="0" quotePrefix="0" xfId="0"/>
    <xf numFmtId="0" fontId="53" fillId="0" borderId="0" applyAlignment="1" pivotButton="0" quotePrefix="0" xfId="0">
      <alignment horizontal="center"/>
    </xf>
    <xf numFmtId="186" fontId="33" fillId="0" borderId="0" applyAlignment="1" pivotButton="0" quotePrefix="0" xfId="0">
      <alignment vertical="center" wrapText="1"/>
    </xf>
    <xf numFmtId="184" fontId="33" fillId="0" borderId="0" applyAlignment="1" pivotButton="0" quotePrefix="0" xfId="0">
      <alignment horizontal="right" vertical="center" shrinkToFit="1"/>
    </xf>
    <xf numFmtId="190" fontId="33" fillId="0" borderId="0" applyAlignment="1" pivotButton="0" quotePrefix="0" xfId="0">
      <alignment horizontal="center" vertical="center"/>
    </xf>
    <xf numFmtId="191" fontId="33" fillId="0" borderId="0" applyAlignment="1" pivotButton="0" quotePrefix="0" xfId="0">
      <alignment horizontal="center" vertical="center"/>
    </xf>
    <xf numFmtId="4" fontId="20" fillId="0" borderId="0" applyAlignment="1" pivotButton="0" quotePrefix="0" xfId="0">
      <alignment horizontal="center"/>
    </xf>
    <xf numFmtId="186" fontId="46" fillId="0" borderId="0" applyAlignment="1" pivotButton="0" quotePrefix="0" xfId="0">
      <alignment horizontal="left"/>
    </xf>
    <xf numFmtId="1" fontId="46" fillId="0" borderId="0" applyAlignment="1" pivotButton="0" quotePrefix="0" xfId="0">
      <alignment horizontal="right"/>
    </xf>
    <xf numFmtId="192" fontId="46" fillId="0" borderId="0" applyAlignment="1" pivotButton="0" quotePrefix="0" xfId="0">
      <alignment horizontal="left"/>
    </xf>
    <xf numFmtId="193" fontId="46" fillId="0" borderId="0" applyAlignment="1" pivotButton="0" quotePrefix="0" xfId="0">
      <alignment horizontal="left"/>
    </xf>
    <xf numFmtId="194" fontId="54" fillId="0" borderId="0" applyAlignment="1" pivotButton="0" quotePrefix="0" xfId="0">
      <alignment horizontal="left"/>
    </xf>
    <xf numFmtId="193" fontId="48" fillId="0" borderId="0" applyAlignment="1" pivotButton="0" quotePrefix="0" xfId="0">
      <alignment horizontal="left"/>
    </xf>
    <xf numFmtId="194" fontId="55" fillId="0" borderId="0" applyAlignment="1" pivotButton="0" quotePrefix="0" xfId="0">
      <alignment horizontal="left"/>
    </xf>
    <xf numFmtId="186" fontId="46" fillId="0" borderId="0" pivotButton="0" quotePrefix="0" xfId="0"/>
    <xf numFmtId="175" fontId="46" fillId="0" borderId="0" applyAlignment="1" pivotButton="0" quotePrefix="0" xfId="0">
      <alignment horizontal="right" vertical="center"/>
    </xf>
    <xf numFmtId="195" fontId="39" fillId="0" borderId="0" applyAlignment="1" pivotButton="0" quotePrefix="0" xfId="0">
      <alignment horizontal="center"/>
    </xf>
    <xf numFmtId="0" fontId="39" fillId="0" borderId="0" pivotButton="0" quotePrefix="0" xfId="0"/>
    <xf numFmtId="0" fontId="56" fillId="0" borderId="0" applyAlignment="1" pivotButton="0" quotePrefix="0" xfId="0">
      <alignment horizontal="center"/>
    </xf>
    <xf numFmtId="0" fontId="56" fillId="0" borderId="0" pivotButton="0" quotePrefix="0" xfId="0"/>
    <xf numFmtId="0" fontId="16" fillId="0" borderId="0" applyAlignment="1" pivotButton="0" quotePrefix="0" xfId="0">
      <alignment horizontal="left" vertical="center"/>
    </xf>
    <xf numFmtId="0" fontId="44" fillId="0" borderId="0" applyAlignment="1" pivotButton="0" quotePrefix="0" xfId="0">
      <alignment horizontal="left"/>
    </xf>
    <xf numFmtId="43" fontId="44" fillId="0" borderId="0" applyAlignment="1" pivotButton="0" quotePrefix="0" xfId="0">
      <alignment horizontal="center"/>
    </xf>
    <xf numFmtId="196" fontId="39" fillId="0" borderId="0" pivotButton="0" quotePrefix="0" xfId="0"/>
    <xf numFmtId="169" fontId="43" fillId="0" borderId="0" applyAlignment="1" pivotButton="0" quotePrefix="0" xfId="0">
      <alignment horizontal="center"/>
    </xf>
    <xf numFmtId="0" fontId="44" fillId="0" borderId="0" applyAlignment="1" pivotButton="0" quotePrefix="0" xfId="0">
      <alignment horizontal="center"/>
    </xf>
    <xf numFmtId="9" fontId="44" fillId="0" borderId="0" pivotButton="0" quotePrefix="0" xfId="0"/>
    <xf numFmtId="3" fontId="43" fillId="0" borderId="0" applyAlignment="1" pivotButton="0" quotePrefix="0" xfId="0">
      <alignment horizontal="right"/>
    </xf>
    <xf numFmtId="3" fontId="43" fillId="0" borderId="0" pivotButton="0" quotePrefix="0" xfId="0"/>
    <xf numFmtId="3" fontId="39" fillId="0" borderId="0" pivotButton="0" quotePrefix="0" xfId="0"/>
    <xf numFmtId="169" fontId="46" fillId="0" borderId="0" applyAlignment="1" pivotButton="0" quotePrefix="0" xfId="0">
      <alignment horizontal="center"/>
    </xf>
    <xf numFmtId="197" fontId="57" fillId="0" borderId="0" applyAlignment="1" pivotButton="0" quotePrefix="0" xfId="0">
      <alignment vertical="center"/>
    </xf>
    <xf numFmtId="198" fontId="44" fillId="0" borderId="0" applyAlignment="1" pivotButton="0" quotePrefix="0" xfId="0">
      <alignment horizontal="left" vertical="top"/>
    </xf>
    <xf numFmtId="198" fontId="44" fillId="0" borderId="0" applyAlignment="1" pivotButton="0" quotePrefix="0" xfId="0">
      <alignment horizontal="center" vertical="top"/>
    </xf>
    <xf numFmtId="0" fontId="43" fillId="0" borderId="0" applyAlignment="1" pivotButton="0" quotePrefix="0" xfId="0">
      <alignment horizontal="center" vertical="center"/>
    </xf>
    <xf numFmtId="0" fontId="20" fillId="0" borderId="0" pivotButton="0" quotePrefix="0" xfId="0"/>
    <xf numFmtId="0" fontId="49" fillId="0" borderId="0" pivotButton="0" quotePrefix="0" xfId="0"/>
    <xf numFmtId="198" fontId="44" fillId="0" borderId="0" applyAlignment="1" pivotButton="0" quotePrefix="0" xfId="0">
      <alignment horizontal="left"/>
    </xf>
    <xf numFmtId="198" fontId="44" fillId="0" borderId="0" applyAlignment="1" pivotButton="0" quotePrefix="0" xfId="0">
      <alignment horizontal="center"/>
    </xf>
    <xf numFmtId="181" fontId="27" fillId="0" borderId="0" applyAlignment="1" pivotButton="0" quotePrefix="0" xfId="0">
      <alignment horizontal="center"/>
    </xf>
    <xf numFmtId="0" fontId="26" fillId="0" borderId="0" pivotButton="0" quotePrefix="0" xfId="0"/>
    <xf numFmtId="0" fontId="26" fillId="0" borderId="0" applyAlignment="1" pivotButton="0" quotePrefix="0" xfId="0">
      <alignment horizontal="center"/>
    </xf>
    <xf numFmtId="0" fontId="26" fillId="0" borderId="0" applyAlignment="1" pivotButton="0" quotePrefix="0" xfId="0">
      <alignment horizontal="left"/>
    </xf>
    <xf numFmtId="14" fontId="20" fillId="0" borderId="0" applyAlignment="1" pivotButton="0" quotePrefix="0" xfId="0">
      <alignment horizontal="left"/>
    </xf>
    <xf numFmtId="186" fontId="58" fillId="0" borderId="0" applyAlignment="1" pivotButton="0" quotePrefix="0" xfId="0">
      <alignment horizontal="left" vertical="center" wrapText="1"/>
    </xf>
    <xf numFmtId="186" fontId="36" fillId="0" borderId="0" applyAlignment="1" pivotButton="0" quotePrefix="0" xfId="0">
      <alignment horizontal="left" vertical="center"/>
    </xf>
    <xf numFmtId="4" fontId="33" fillId="0" borderId="0" applyAlignment="1" pivotButton="0" quotePrefix="0" xfId="0">
      <alignment horizontal="center"/>
    </xf>
    <xf numFmtId="185" fontId="20" fillId="0" borderId="0" applyAlignment="1" pivotButton="0" quotePrefix="0" xfId="0">
      <alignment horizontal="center" vertical="center"/>
    </xf>
    <xf numFmtId="43" fontId="59" fillId="0" borderId="0" applyAlignment="1" pivotButton="0" quotePrefix="0" xfId="0">
      <alignment horizontal="center" vertical="center" wrapText="1"/>
    </xf>
    <xf numFmtId="186" fontId="31" fillId="0" borderId="0" applyAlignment="1" pivotButton="0" quotePrefix="0" xfId="0">
      <alignment horizontal="left" vertical="center" wrapText="1"/>
    </xf>
    <xf numFmtId="186" fontId="27" fillId="0" borderId="0" applyAlignment="1" pivotButton="0" quotePrefix="0" xfId="0">
      <alignment horizontal="right" vertical="center"/>
    </xf>
    <xf numFmtId="187" fontId="27" fillId="0" borderId="0" applyAlignment="1" pivotButton="0" quotePrefix="0" xfId="0">
      <alignment horizontal="center" vertical="center"/>
    </xf>
    <xf numFmtId="188" fontId="27" fillId="0" borderId="0" applyAlignment="1" pivotButton="0" quotePrefix="0" xfId="0">
      <alignment horizontal="center" vertical="center"/>
    </xf>
    <xf numFmtId="199" fontId="31" fillId="0" borderId="0" applyAlignment="1" pivotButton="0" quotePrefix="0" xfId="0">
      <alignment vertical="center"/>
    </xf>
    <xf numFmtId="200" fontId="20" fillId="0" borderId="0" applyAlignment="1" pivotButton="0" quotePrefix="0" xfId="0">
      <alignment horizontal="center" vertical="center"/>
    </xf>
    <xf numFmtId="43" fontId="20" fillId="0" borderId="0" applyAlignment="1" pivotButton="0" quotePrefix="0" xfId="0">
      <alignment horizontal="left" vertical="center" wrapText="1"/>
    </xf>
    <xf numFmtId="43" fontId="20" fillId="0" borderId="0" applyAlignment="1" pivotButton="0" quotePrefix="0" xfId="0">
      <alignment horizontal="left" vertical="center"/>
    </xf>
    <xf numFmtId="186" fontId="31" fillId="0" borderId="0" applyAlignment="1" pivotButton="0" quotePrefix="0" xfId="0">
      <alignment horizontal="right" vertical="center" wrapText="1"/>
    </xf>
    <xf numFmtId="201" fontId="31" fillId="0" borderId="0" applyAlignment="1" pivotButton="0" quotePrefix="0" xfId="0">
      <alignment horizontal="left" vertical="center" wrapText="1"/>
    </xf>
    <xf numFmtId="202" fontId="31" fillId="0" borderId="0" applyAlignment="1" pivotButton="0" quotePrefix="0" xfId="0">
      <alignment horizontal="center" vertical="center" wrapText="1"/>
    </xf>
    <xf numFmtId="203" fontId="31" fillId="0" borderId="0" applyAlignment="1" pivotButton="0" quotePrefix="0" xfId="0">
      <alignment horizontal="center" vertical="center" wrapText="1"/>
    </xf>
    <xf numFmtId="186" fontId="31" fillId="0" borderId="0" applyAlignment="1" pivotButton="0" quotePrefix="0" xfId="0">
      <alignment vertical="center" wrapText="1"/>
    </xf>
    <xf numFmtId="1" fontId="60" fillId="0" borderId="0" applyAlignment="1" pivotButton="0" quotePrefix="0" xfId="0">
      <alignment horizontal="left" vertical="center" wrapText="1"/>
    </xf>
    <xf numFmtId="204" fontId="31" fillId="0" borderId="0" applyAlignment="1" pivotButton="0" quotePrefix="0" xfId="0">
      <alignment horizontal="right" vertical="center"/>
    </xf>
    <xf numFmtId="186" fontId="60" fillId="0" borderId="0" applyAlignment="1" pivotButton="0" quotePrefix="0" xfId="0">
      <alignment horizontal="right" vertical="center" wrapText="1"/>
    </xf>
    <xf numFmtId="201" fontId="60" fillId="0" borderId="0" applyAlignment="1" pivotButton="0" quotePrefix="0" xfId="0">
      <alignment horizontal="left" vertical="center" wrapText="1"/>
    </xf>
    <xf numFmtId="186" fontId="59" fillId="0" borderId="0" applyAlignment="1" pivotButton="0" quotePrefix="0" xfId="0">
      <alignment horizontal="right" vertical="center"/>
    </xf>
    <xf numFmtId="186" fontId="20" fillId="0" borderId="0" applyAlignment="1" pivotButton="0" quotePrefix="0" xfId="0">
      <alignment horizontal="right" vertical="center"/>
    </xf>
    <xf numFmtId="188" fontId="27" fillId="0" borderId="0" applyAlignment="1" pivotButton="0" quotePrefix="0" xfId="0">
      <alignment horizontal="right" vertical="center"/>
    </xf>
    <xf numFmtId="190" fontId="27" fillId="0" borderId="0" applyAlignment="1" pivotButton="0" quotePrefix="0" xfId="0">
      <alignment horizontal="center" vertical="center"/>
    </xf>
    <xf numFmtId="191" fontId="27" fillId="0" borderId="0" applyAlignment="1" pivotButton="0" quotePrefix="0" xfId="0">
      <alignment horizontal="center" vertical="center"/>
    </xf>
    <xf numFmtId="175" fontId="27" fillId="0" borderId="0" applyAlignment="1" pivotButton="0" quotePrefix="0" xfId="0">
      <alignment horizontal="center" vertical="center"/>
    </xf>
    <xf numFmtId="43" fontId="20" fillId="0" borderId="0" applyAlignment="1" pivotButton="0" quotePrefix="0" xfId="0">
      <alignment horizontal="center" vertical="center"/>
    </xf>
    <xf numFmtId="188" fontId="61" fillId="0" borderId="0" applyAlignment="1" pivotButton="0" quotePrefix="0" xfId="0">
      <alignment horizontal="left" vertical="center"/>
    </xf>
    <xf numFmtId="175" fontId="27" fillId="0" borderId="0" applyAlignment="1" pivotButton="0" quotePrefix="0" xfId="0">
      <alignment horizontal="left" vertical="center"/>
    </xf>
    <xf numFmtId="205" fontId="26" fillId="0" borderId="0" applyAlignment="1" pivotButton="0" quotePrefix="0" xfId="0">
      <alignment horizontal="left" vertical="center"/>
    </xf>
    <xf numFmtId="0" fontId="31" fillId="0" borderId="0" applyAlignment="1" pivotButton="0" quotePrefix="0" xfId="0">
      <alignment horizontal="right" vertical="center"/>
    </xf>
    <xf numFmtId="175" fontId="26" fillId="0" borderId="0" applyAlignment="1" pivotButton="0" quotePrefix="0" xfId="0">
      <alignment horizontal="right" vertical="center"/>
    </xf>
    <xf numFmtId="3" fontId="59" fillId="0" borderId="0" applyAlignment="1" pivotButton="0" quotePrefix="0" xfId="0">
      <alignment horizontal="left" vertical="center"/>
    </xf>
    <xf numFmtId="9" fontId="27" fillId="0" borderId="0" applyAlignment="1" pivotButton="0" quotePrefix="0" xfId="0">
      <alignment horizontal="center" vertical="center"/>
    </xf>
    <xf numFmtId="37" fontId="62" fillId="0" borderId="0" applyAlignment="1" pivotButton="0" quotePrefix="0" xfId="0">
      <alignment horizontal="center"/>
    </xf>
    <xf numFmtId="3" fontId="27" fillId="0" borderId="0" applyAlignment="1" pivotButton="0" quotePrefix="0" xfId="0">
      <alignment horizontal="left" vertical="center"/>
    </xf>
    <xf numFmtId="3" fontId="27" fillId="0" borderId="0" applyAlignment="1" pivotButton="0" quotePrefix="0" xfId="0">
      <alignment vertical="center"/>
    </xf>
    <xf numFmtId="9" fontId="27" fillId="0" borderId="0" applyAlignment="1" pivotButton="0" quotePrefix="0" xfId="0">
      <alignment horizontal="right" vertical="center"/>
    </xf>
    <xf numFmtId="3" fontId="31" fillId="0" borderId="0" applyAlignment="1" pivotButton="0" quotePrefix="0" xfId="0">
      <alignment horizontal="left" vertical="center"/>
    </xf>
    <xf numFmtId="3" fontId="20" fillId="0" borderId="0" applyAlignment="1" pivotButton="0" quotePrefix="0" xfId="0">
      <alignment horizontal="left" vertical="center"/>
    </xf>
    <xf numFmtId="3" fontId="20" fillId="0" borderId="0" applyAlignment="1" pivotButton="0" quotePrefix="0" xfId="0">
      <alignment horizontal="center" vertical="center"/>
    </xf>
    <xf numFmtId="3" fontId="26" fillId="0" borderId="0" applyAlignment="1" pivotButton="0" quotePrefix="0" xfId="0">
      <alignment horizontal="center" vertical="center"/>
    </xf>
    <xf numFmtId="3" fontId="27" fillId="0" borderId="0" applyAlignment="1" pivotButton="0" quotePrefix="0" xfId="0">
      <alignment horizontal="right" vertical="center"/>
    </xf>
    <xf numFmtId="3" fontId="63" fillId="0" borderId="0" applyAlignment="1" pivotButton="0" quotePrefix="0" xfId="0">
      <alignment horizontal="right" vertical="center"/>
    </xf>
    <xf numFmtId="3" fontId="31" fillId="0" borderId="0" applyAlignment="1" pivotButton="0" quotePrefix="0" xfId="0">
      <alignment horizontal="right" vertical="center"/>
    </xf>
    <xf numFmtId="3" fontId="59" fillId="0" borderId="0" applyAlignment="1" pivotButton="0" quotePrefix="0" xfId="0">
      <alignment horizontal="left"/>
    </xf>
    <xf numFmtId="3" fontId="20" fillId="0" borderId="0" applyAlignment="1" pivotButton="0" quotePrefix="0" xfId="0">
      <alignment horizontal="left"/>
    </xf>
    <xf numFmtId="3" fontId="20" fillId="0" borderId="0" applyAlignment="1" pivotButton="0" quotePrefix="0" xfId="0">
      <alignment horizontal="center"/>
    </xf>
    <xf numFmtId="3" fontId="64" fillId="0" borderId="0" applyAlignment="1" pivotButton="0" quotePrefix="0" xfId="0">
      <alignment horizontal="left"/>
    </xf>
    <xf numFmtId="3" fontId="27" fillId="0" borderId="0" applyAlignment="1" pivotButton="0" quotePrefix="0" xfId="0">
      <alignment horizontal="right"/>
    </xf>
    <xf numFmtId="3" fontId="63" fillId="0" borderId="0" applyAlignment="1" pivotButton="0" quotePrefix="0" xfId="0">
      <alignment horizontal="right"/>
    </xf>
    <xf numFmtId="3" fontId="27" fillId="0" borderId="0" applyAlignment="1" pivotButton="0" quotePrefix="0" xfId="0">
      <alignment horizontal="center"/>
    </xf>
    <xf numFmtId="3" fontId="31" fillId="0" borderId="0" applyAlignment="1" pivotButton="0" quotePrefix="0" xfId="0">
      <alignment horizontal="right"/>
    </xf>
    <xf numFmtId="3" fontId="59" fillId="0" borderId="0" pivotButton="0" quotePrefix="0" xfId="0"/>
    <xf numFmtId="3" fontId="27" fillId="0" borderId="0" pivotButton="0" quotePrefix="0" xfId="0"/>
    <xf numFmtId="3" fontId="31" fillId="0" borderId="0" pivotButton="0" quotePrefix="0" xfId="0"/>
    <xf numFmtId="198" fontId="20" fillId="0" borderId="0" applyAlignment="1" pivotButton="0" quotePrefix="0" xfId="0">
      <alignment horizontal="center"/>
    </xf>
    <xf numFmtId="0" fontId="25" fillId="0" borderId="0" applyAlignment="1" pivotButton="0" quotePrefix="0" xfId="0">
      <alignment vertical="center"/>
    </xf>
    <xf numFmtId="0" fontId="65" fillId="0" borderId="0" applyAlignment="1" pivotButton="0" quotePrefix="0" xfId="0">
      <alignment horizontal="center" vertical="center"/>
    </xf>
    <xf numFmtId="0" fontId="66" fillId="0" borderId="0" applyAlignment="1" pivotButton="0" quotePrefix="0" xfId="0">
      <alignment horizontal="center" vertical="center"/>
    </xf>
    <xf numFmtId="0" fontId="67" fillId="0" borderId="0" applyAlignment="1" pivotButton="0" quotePrefix="0" xfId="0">
      <alignment horizontal="center" vertical="center"/>
    </xf>
    <xf numFmtId="0" fontId="68" fillId="0" borderId="0" applyAlignment="1" pivotButton="0" quotePrefix="0" xfId="0">
      <alignment horizontal="center" vertical="center"/>
    </xf>
    <xf numFmtId="0" fontId="69" fillId="0" borderId="0" applyAlignment="1" pivotButton="0" quotePrefix="0" xfId="0">
      <alignment horizontal="left" vertical="center"/>
    </xf>
    <xf numFmtId="0" fontId="69" fillId="0" borderId="0" applyAlignment="1" pivotButton="0" quotePrefix="0" xfId="0">
      <alignment vertical="center"/>
    </xf>
    <xf numFmtId="0" fontId="69" fillId="0" borderId="0" applyAlignment="1" pivotButton="0" quotePrefix="0" xfId="0">
      <alignment horizontal="right" vertical="center"/>
    </xf>
    <xf numFmtId="0" fontId="65" fillId="0" borderId="0" applyAlignment="1" pivotButton="0" quotePrefix="0" xfId="0">
      <alignment vertical="center"/>
    </xf>
    <xf numFmtId="0" fontId="25" fillId="0" borderId="0" applyAlignment="1" pivotButton="0" quotePrefix="0" xfId="0">
      <alignment horizontal="center" vertical="center"/>
    </xf>
    <xf numFmtId="0" fontId="70" fillId="0" borderId="0" applyAlignment="1" pivotButton="0" quotePrefix="0" xfId="0">
      <alignment horizontal="left" vertical="center"/>
    </xf>
    <xf numFmtId="0" fontId="25" fillId="0" borderId="0" applyAlignment="1" pivotButton="0" quotePrefix="0" xfId="0">
      <alignment horizontal="left" vertical="center"/>
    </xf>
    <xf numFmtId="0" fontId="70" fillId="0" borderId="0" applyAlignment="1" pivotButton="0" quotePrefix="0" xfId="0">
      <alignment vertical="center"/>
    </xf>
    <xf numFmtId="0" fontId="71" fillId="0" borderId="0" applyAlignment="1" pivotButton="0" quotePrefix="0" xfId="0">
      <alignment vertical="center"/>
    </xf>
    <xf numFmtId="0" fontId="72" fillId="0" borderId="0" applyAlignment="1" pivotButton="0" quotePrefix="0" xfId="0">
      <alignment vertical="center"/>
    </xf>
    <xf numFmtId="0" fontId="73" fillId="0" borderId="0" applyAlignment="1" pivotButton="0" quotePrefix="0" xfId="0">
      <alignment vertical="center"/>
    </xf>
    <xf numFmtId="0" fontId="74" fillId="0" borderId="0" applyAlignment="1" pivotButton="0" quotePrefix="0" xfId="0">
      <alignment vertical="center"/>
    </xf>
    <xf numFmtId="182" fontId="72" fillId="0" borderId="0" applyAlignment="1" pivotButton="0" quotePrefix="0" xfId="0">
      <alignment horizontal="left" vertical="top"/>
    </xf>
    <xf numFmtId="0" fontId="25" fillId="0" borderId="0" applyAlignment="1" pivotButton="0" quotePrefix="0" xfId="0">
      <alignment horizontal="justify" vertical="center"/>
    </xf>
    <xf numFmtId="0" fontId="25" fillId="0" borderId="0" applyAlignment="1" pivotButton="0" quotePrefix="0" xfId="0">
      <alignment horizontal="right" vertical="center"/>
    </xf>
    <xf numFmtId="3" fontId="65" fillId="0" borderId="0" applyAlignment="1" pivotButton="0" quotePrefix="0" xfId="0">
      <alignment horizontal="left" vertical="center"/>
    </xf>
    <xf numFmtId="206" fontId="25" fillId="0" borderId="0" applyAlignment="1" pivotButton="0" quotePrefix="0" xfId="0">
      <alignment horizontal="left" vertical="center"/>
    </xf>
    <xf numFmtId="3" fontId="72" fillId="0" borderId="0" applyAlignment="1" pivotButton="0" quotePrefix="0" xfId="0">
      <alignment horizontal="right" vertical="center"/>
    </xf>
    <xf numFmtId="207" fontId="65" fillId="0" borderId="0" applyAlignment="1" pivotButton="0" quotePrefix="0" xfId="0">
      <alignment horizontal="left" vertical="center"/>
    </xf>
    <xf numFmtId="4" fontId="72" fillId="0" borderId="0" applyAlignment="1" pivotButton="0" quotePrefix="0" xfId="0">
      <alignment horizontal="center" vertical="center"/>
    </xf>
    <xf numFmtId="194" fontId="65" fillId="0" borderId="0" applyAlignment="1" pivotButton="0" quotePrefix="0" xfId="0">
      <alignment horizontal="left" vertical="center"/>
    </xf>
    <xf numFmtId="194" fontId="25" fillId="0" borderId="0" applyAlignment="1" pivotButton="0" quotePrefix="0" xfId="0">
      <alignment horizontal="left" vertical="center"/>
    </xf>
    <xf numFmtId="4" fontId="72" fillId="0" borderId="0" applyAlignment="1" pivotButton="0" quotePrefix="0" xfId="0">
      <alignment horizontal="left" vertical="center"/>
    </xf>
    <xf numFmtId="208" fontId="65" fillId="0" borderId="0" applyAlignment="1" pivotButton="0" quotePrefix="0" xfId="0">
      <alignment horizontal="left" vertical="center"/>
    </xf>
    <xf numFmtId="208" fontId="25" fillId="0" borderId="0" applyAlignment="1" pivotButton="0" quotePrefix="0" xfId="0">
      <alignment horizontal="left" vertical="center"/>
    </xf>
    <xf numFmtId="0" fontId="65" fillId="0" borderId="0" applyAlignment="1" pivotButton="0" quotePrefix="0" xfId="0">
      <alignment horizontal="left" vertical="center"/>
    </xf>
    <xf numFmtId="0" fontId="66" fillId="0" borderId="0" applyAlignment="1" pivotButton="0" quotePrefix="0" xfId="0">
      <alignment horizontal="right" vertical="center"/>
    </xf>
    <xf numFmtId="0" fontId="66" fillId="0" borderId="0" applyAlignment="1" pivotButton="0" quotePrefix="0" xfId="0">
      <alignment vertical="center"/>
    </xf>
    <xf numFmtId="0" fontId="75" fillId="0" borderId="0" applyAlignment="1" pivotButton="0" quotePrefix="0" xfId="0">
      <alignment vertical="center"/>
    </xf>
    <xf numFmtId="0" fontId="25" fillId="0" borderId="0" applyAlignment="1" pivotButton="0" quotePrefix="0" xfId="0">
      <alignment horizontal="left" vertical="center" wrapText="1"/>
    </xf>
    <xf numFmtId="0" fontId="75" fillId="0" borderId="0" applyAlignment="1" pivotButton="0" quotePrefix="0" xfId="0">
      <alignment horizontal="right" vertical="center"/>
    </xf>
    <xf numFmtId="0" fontId="75" fillId="0" borderId="0" applyAlignment="1" pivotButton="0" quotePrefix="0" xfId="0">
      <alignment horizontal="center" vertical="center"/>
    </xf>
    <xf numFmtId="0" fontId="76" fillId="0" borderId="0" applyAlignment="1" pivotButton="0" quotePrefix="0" xfId="0">
      <alignment vertical="center"/>
    </xf>
    <xf numFmtId="0" fontId="77" fillId="0" borderId="0" applyAlignment="1" pivotButton="0" quotePrefix="0" xfId="0">
      <alignment vertical="center"/>
    </xf>
    <xf numFmtId="0" fontId="65" fillId="0" borderId="0" applyAlignment="1" pivotButton="0" quotePrefix="0" xfId="0">
      <alignment horizontal="right" vertical="center"/>
    </xf>
    <xf numFmtId="0" fontId="78" fillId="0" borderId="0" applyAlignment="1" pivotButton="0" quotePrefix="0" xfId="0">
      <alignment horizontal="center" vertical="center"/>
    </xf>
    <xf numFmtId="0" fontId="78" fillId="0" borderId="0" applyAlignment="1" pivotButton="0" quotePrefix="0" xfId="0">
      <alignment vertical="center"/>
    </xf>
    <xf numFmtId="0" fontId="25" fillId="0" borderId="0" applyProtection="1" pivotButton="0" quotePrefix="0" xfId="0">
      <protection locked="0" hidden="0"/>
    </xf>
    <xf numFmtId="0" fontId="25" fillId="0" borderId="0" applyProtection="1" pivotButton="0" quotePrefix="0" xfId="0">
      <protection locked="0" hidden="1"/>
    </xf>
    <xf numFmtId="0" fontId="79" fillId="0" borderId="0" pivotButton="0" quotePrefix="0" xfId="0"/>
    <xf numFmtId="0" fontId="70" fillId="0" borderId="0" pivotButton="0" quotePrefix="0" xfId="0"/>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172" fontId="84" fillId="0" borderId="0" applyAlignment="1" pivotButton="0" quotePrefix="0" xfId="0">
      <alignment horizontal="right" vertical="center" wrapText="1"/>
    </xf>
    <xf numFmtId="0" fontId="84" fillId="0" borderId="0" applyAlignment="1" pivotButton="0" quotePrefix="0" xfId="0">
      <alignment vertical="center" wrapText="1"/>
    </xf>
    <xf numFmtId="0" fontId="85" fillId="0" borderId="0" applyAlignment="1" pivotButton="0" quotePrefix="0" xfId="0">
      <alignment horizontal="right"/>
    </xf>
    <xf numFmtId="0" fontId="85" fillId="0" borderId="0" pivotButton="0" quotePrefix="0" xfId="0"/>
    <xf numFmtId="0" fontId="86" fillId="0" borderId="0" applyAlignment="1" pivotButton="0" quotePrefix="0" xfId="0">
      <alignment horizontal="center"/>
    </xf>
    <xf numFmtId="0" fontId="87" fillId="0" borderId="0" applyAlignment="1" pivotButton="0" quotePrefix="0" xfId="0">
      <alignment horizontal="center"/>
    </xf>
    <xf numFmtId="0" fontId="88" fillId="0" borderId="0" applyAlignment="1" pivotButton="0" quotePrefix="0" xfId="0">
      <alignment horizontal="left" vertical="center"/>
    </xf>
    <xf numFmtId="0" fontId="89" fillId="0" borderId="0" applyAlignment="1" pivotButton="0" quotePrefix="0" xfId="0">
      <alignment horizontal="left" vertical="center"/>
    </xf>
    <xf numFmtId="0" fontId="90" fillId="0" borderId="0" pivotButton="0" quotePrefix="0" xfId="0"/>
    <xf numFmtId="0" fontId="91" fillId="0" borderId="0" pivotButton="0" quotePrefix="0" xfId="0"/>
    <xf numFmtId="0" fontId="92" fillId="0" borderId="0" pivotButton="0" quotePrefix="0" xfId="0"/>
    <xf numFmtId="1" fontId="15" fillId="0" borderId="0" pivotButton="0" quotePrefix="0" xfId="0"/>
    <xf numFmtId="0" fontId="90" fillId="0" borderId="0" applyAlignment="1" pivotButton="0" quotePrefix="0" xfId="0">
      <alignment horizontal="center"/>
    </xf>
    <xf numFmtId="0" fontId="15" fillId="0" borderId="0" pivotButton="0" quotePrefix="0" xfId="0"/>
    <xf numFmtId="0" fontId="93" fillId="0" borderId="0" pivotButton="0" quotePrefix="0" xfId="0"/>
    <xf numFmtId="0" fontId="94" fillId="0" borderId="0" applyAlignment="1" pivotButton="0" quotePrefix="0" xfId="0">
      <alignment vertical="center"/>
    </xf>
    <xf numFmtId="0" fontId="92" fillId="0" borderId="0" applyAlignment="1" pivotButton="0" quotePrefix="0" xfId="0">
      <alignment horizontal="center" vertical="center"/>
    </xf>
    <xf numFmtId="0" fontId="95" fillId="0" borderId="0" applyAlignment="1" pivotButton="0" quotePrefix="0" xfId="0">
      <alignment horizontal="left"/>
    </xf>
    <xf numFmtId="0" fontId="96" fillId="0" borderId="0" applyAlignment="1" pivotButton="0" quotePrefix="0" xfId="0">
      <alignment horizontal="left"/>
    </xf>
    <xf numFmtId="175" fontId="96" fillId="0" borderId="0" applyAlignment="1" pivotButton="0" quotePrefix="0" xfId="0">
      <alignment horizontal="left"/>
    </xf>
    <xf numFmtId="209" fontId="96" fillId="0" borderId="0" applyAlignment="1" pivotButton="0" quotePrefix="0" xfId="0">
      <alignment horizontal="left"/>
    </xf>
    <xf numFmtId="210" fontId="96" fillId="0" borderId="0" applyAlignment="1" pivotButton="0" quotePrefix="0" xfId="0">
      <alignment horizontal="left"/>
    </xf>
    <xf numFmtId="210" fontId="96" fillId="0" borderId="0" pivotButton="0" quotePrefix="0" xfId="0"/>
    <xf numFmtId="0" fontId="97" fillId="0" borderId="0" pivotButton="0" quotePrefix="0" xfId="0"/>
    <xf numFmtId="0" fontId="98" fillId="0" borderId="0" pivotButton="0" quotePrefix="0" xfId="0"/>
    <xf numFmtId="0" fontId="96" fillId="0" borderId="0" pivotButton="0" quotePrefix="0" xfId="0"/>
    <xf numFmtId="0" fontId="99" fillId="0" borderId="0" applyAlignment="1" pivotButton="0" quotePrefix="0" xfId="0">
      <alignment vertical="center"/>
    </xf>
    <xf numFmtId="0" fontId="100" fillId="0" borderId="0" applyAlignment="1" pivotButton="0" quotePrefix="0" xfId="0">
      <alignment horizontal="center"/>
    </xf>
    <xf numFmtId="0" fontId="101" fillId="0" borderId="0" applyAlignment="1" pivotButton="0" quotePrefix="0" xfId="0">
      <alignment horizontal="center"/>
    </xf>
    <xf numFmtId="0" fontId="19" fillId="0" borderId="0" applyAlignment="1" pivotButton="0" quotePrefix="0" xfId="0">
      <alignment horizontal="center" wrapText="1"/>
    </xf>
    <xf numFmtId="0" fontId="20" fillId="0" borderId="0" applyAlignment="1" pivotButton="0" quotePrefix="0" xfId="0">
      <alignment horizontal="center" wrapText="1"/>
    </xf>
    <xf numFmtId="49" fontId="20" fillId="0" borderId="0" applyAlignment="1" pivotButton="0" quotePrefix="0" xfId="0">
      <alignment horizontal="center"/>
    </xf>
    <xf numFmtId="0" fontId="102" fillId="0" borderId="0" applyAlignment="1" pivotButton="0" quotePrefix="0" xfId="0">
      <alignment horizontal="center"/>
    </xf>
    <xf numFmtId="0" fontId="20" fillId="0" borderId="0" applyAlignment="1" pivotButton="0" quotePrefix="0" xfId="0">
      <alignment horizontal="center" vertical="top"/>
    </xf>
    <xf numFmtId="0" fontId="20" fillId="0" borderId="0" applyAlignment="1" pivotButton="0" quotePrefix="0" xfId="0">
      <alignment horizontal="left" vertical="top"/>
    </xf>
    <xf numFmtId="49" fontId="20" fillId="0" borderId="0" applyAlignment="1" pivotButton="0" quotePrefix="0" xfId="0">
      <alignment horizontal="center" vertical="top"/>
    </xf>
    <xf numFmtId="0" fontId="20" fillId="0" borderId="0" applyAlignment="1" pivotButton="0" quotePrefix="0" xfId="0">
      <alignment horizontal="left" vertical="top" wrapText="1"/>
    </xf>
    <xf numFmtId="0" fontId="20" fillId="0" borderId="11" applyAlignment="1" pivotButton="0" quotePrefix="0" xfId="0">
      <alignment horizontal="center" vertical="center" wrapText="1"/>
    </xf>
    <xf numFmtId="0" fontId="20" fillId="2" borderId="11" applyAlignment="1" pivotButton="0" quotePrefix="0" xfId="0">
      <alignment horizontal="center" vertical="center" wrapText="1"/>
    </xf>
    <xf numFmtId="49" fontId="20" fillId="0" borderId="11" applyAlignment="1" pivotButton="0" quotePrefix="0" xfId="0">
      <alignment horizontal="center" vertical="center" wrapText="1"/>
    </xf>
    <xf numFmtId="49" fontId="20" fillId="2" borderId="11" applyAlignment="1" pivotButton="0" quotePrefix="0" xfId="0">
      <alignment horizontal="center" vertical="center" wrapText="1"/>
    </xf>
    <xf numFmtId="0" fontId="20" fillId="0" borderId="11" applyAlignment="1" pivotButton="0" quotePrefix="0" xfId="0">
      <alignment horizontal="center"/>
    </xf>
    <xf numFmtId="0" fontId="20" fillId="0" borderId="11" applyAlignment="1" pivotButton="0" quotePrefix="0" xfId="0">
      <alignment wrapText="1"/>
    </xf>
    <xf numFmtId="49" fontId="20" fillId="2" borderId="11" applyAlignment="1" pivotButton="0" quotePrefix="0" xfId="0">
      <alignment horizontal="center"/>
    </xf>
    <xf numFmtId="9" fontId="20" fillId="0" borderId="11" applyAlignment="1" pivotButton="0" quotePrefix="0" xfId="0">
      <alignment horizontal="center"/>
    </xf>
    <xf numFmtId="0" fontId="64" fillId="0" borderId="11" applyAlignment="1" pivotButton="0" quotePrefix="0" xfId="0">
      <alignment horizontal="center"/>
    </xf>
    <xf numFmtId="0" fontId="64" fillId="0" borderId="11" applyAlignment="1" pivotButton="0" quotePrefix="0" xfId="0">
      <alignment wrapText="1"/>
    </xf>
    <xf numFmtId="49" fontId="64" fillId="2" borderId="11" applyAlignment="1" pivotButton="0" quotePrefix="0" xfId="0">
      <alignment horizontal="center"/>
    </xf>
    <xf numFmtId="9" fontId="64" fillId="0" borderId="11" applyAlignment="1" pivotButton="0" quotePrefix="0" xfId="0">
      <alignment horizontal="center"/>
    </xf>
    <xf numFmtId="49" fontId="20" fillId="3" borderId="11" applyAlignment="1" pivotButton="0" quotePrefix="0" xfId="0">
      <alignment horizontal="center"/>
    </xf>
    <xf numFmtId="0" fontId="103" fillId="0" borderId="11" applyAlignment="1" pivotButton="0" quotePrefix="0" xfId="0">
      <alignment horizontal="left" shrinkToFit="1"/>
    </xf>
    <xf numFmtId="0" fontId="103" fillId="0" borderId="11" applyAlignment="1" pivotButton="0" quotePrefix="0" xfId="0">
      <alignment horizontal="center" shrinkToFit="1"/>
    </xf>
    <xf numFmtId="0" fontId="103" fillId="0" borderId="11" applyAlignment="1" pivotButton="0" quotePrefix="0" xfId="0">
      <alignment horizontal="center"/>
    </xf>
    <xf numFmtId="49" fontId="103" fillId="2" borderId="11" applyAlignment="1" pivotButton="0" quotePrefix="0" xfId="0">
      <alignment horizontal="center"/>
    </xf>
    <xf numFmtId="9" fontId="103" fillId="0" borderId="11" applyAlignment="1" pivotButton="0" quotePrefix="0" xfId="0">
      <alignment horizontal="center"/>
    </xf>
    <xf numFmtId="0" fontId="103" fillId="0" borderId="11" applyAlignment="1" pivotButton="0" quotePrefix="0" xfId="0">
      <alignment wrapText="1"/>
    </xf>
    <xf numFmtId="49" fontId="20" fillId="0" borderId="11" applyAlignment="1" pivotButton="0" quotePrefix="0" xfId="0">
      <alignment horizontal="center"/>
    </xf>
    <xf numFmtId="211" fontId="20" fillId="0" borderId="11" applyAlignment="1" pivotButton="0" quotePrefix="0" xfId="0">
      <alignment horizontal="left" shrinkToFit="1"/>
    </xf>
    <xf numFmtId="0" fontId="20" fillId="0" borderId="11" applyAlignment="1" pivotButton="0" quotePrefix="0" xfId="0">
      <alignment horizontal="center" shrinkToFit="1"/>
    </xf>
    <xf numFmtId="0" fontId="20" fillId="2" borderId="11" applyAlignment="1" pivotButton="0" quotePrefix="0" xfId="0">
      <alignment horizontal="center"/>
    </xf>
    <xf numFmtId="9" fontId="20" fillId="2" borderId="11" applyAlignment="1" pivotButton="0" quotePrefix="0" xfId="0">
      <alignment horizontal="center"/>
    </xf>
    <xf numFmtId="0" fontId="20" fillId="2" borderId="11" applyAlignment="1" pivotButton="0" quotePrefix="0" xfId="0">
      <alignment wrapText="1"/>
    </xf>
    <xf numFmtId="4" fontId="20" fillId="2" borderId="11" applyAlignment="1" pivotButton="0" quotePrefix="0" xfId="0">
      <alignment wrapText="1"/>
    </xf>
    <xf numFmtId="4" fontId="64" fillId="2" borderId="11" applyAlignment="1" pivotButton="0" quotePrefix="0" xfId="0">
      <alignment wrapText="1"/>
    </xf>
    <xf numFmtId="0" fontId="64" fillId="2" borderId="11" applyAlignment="1" pivotButton="0" quotePrefix="0" xfId="0">
      <alignment horizontal="center"/>
    </xf>
    <xf numFmtId="4" fontId="20" fillId="4" borderId="11" applyAlignment="1" pivotButton="0" quotePrefix="0" xfId="0">
      <alignment wrapText="1"/>
    </xf>
    <xf numFmtId="0" fontId="20" fillId="4" borderId="11" applyAlignment="1" pivotButton="0" quotePrefix="0" xfId="0">
      <alignment horizontal="center"/>
    </xf>
    <xf numFmtId="49" fontId="20" fillId="4" borderId="11" applyAlignment="1" pivotButton="0" quotePrefix="0" xfId="0">
      <alignment horizontal="center"/>
    </xf>
    <xf numFmtId="9" fontId="20" fillId="4" borderId="11" applyAlignment="1" pivotButton="0" quotePrefix="0" xfId="0">
      <alignment horizontal="center"/>
    </xf>
    <xf numFmtId="4" fontId="64" fillId="4" borderId="11" applyAlignment="1" pivotButton="0" quotePrefix="0" xfId="0">
      <alignment wrapText="1"/>
    </xf>
    <xf numFmtId="0" fontId="64" fillId="4" borderId="11" applyAlignment="1" pivotButton="0" quotePrefix="0" xfId="0">
      <alignment horizontal="center"/>
    </xf>
    <xf numFmtId="49" fontId="64" fillId="4" borderId="11" applyAlignment="1" pivotButton="0" quotePrefix="0" xfId="0">
      <alignment horizontal="center"/>
    </xf>
    <xf numFmtId="9" fontId="64" fillId="4" borderId="11" applyAlignment="1" pivotButton="0" quotePrefix="0" xfId="0">
      <alignment horizontal="center"/>
    </xf>
    <xf numFmtId="4" fontId="20" fillId="0" borderId="11" applyAlignment="1" pivotButton="0" quotePrefix="0" xfId="0">
      <alignment wrapText="1"/>
    </xf>
    <xf numFmtId="0" fontId="104" fillId="0" borderId="11" applyAlignment="1" pivotButton="0" quotePrefix="0" xfId="0">
      <alignment wrapText="1"/>
    </xf>
    <xf numFmtId="0" fontId="104" fillId="0" borderId="11" applyAlignment="1" pivotButton="0" quotePrefix="0" xfId="0">
      <alignment horizontal="center"/>
    </xf>
    <xf numFmtId="49" fontId="104" fillId="0" borderId="11" applyAlignment="1" pivotButton="0" quotePrefix="0" xfId="0">
      <alignment horizontal="center"/>
    </xf>
    <xf numFmtId="9" fontId="104" fillId="0" borderId="11" applyAlignment="1" pivotButton="0" quotePrefix="0" xfId="0">
      <alignment horizontal="center"/>
    </xf>
    <xf numFmtId="49" fontId="64" fillId="0" borderId="11" applyAlignment="1" pivotButton="0" quotePrefix="0" xfId="0">
      <alignment horizontal="center"/>
    </xf>
    <xf numFmtId="0" fontId="64" fillId="3" borderId="11" applyAlignment="1" pivotButton="0" quotePrefix="0" xfId="0">
      <alignment wrapText="1"/>
    </xf>
    <xf numFmtId="0" fontId="64" fillId="3" borderId="11" applyAlignment="1" pivotButton="0" quotePrefix="0" xfId="0">
      <alignment horizontal="center"/>
    </xf>
    <xf numFmtId="0" fontId="64" fillId="0" borderId="31" applyAlignment="1" pivotButton="0" quotePrefix="0" xfId="0">
      <alignment wrapText="1"/>
    </xf>
    <xf numFmtId="0" fontId="64" fillId="0" borderId="31" applyAlignment="1" pivotButton="0" quotePrefix="0" xfId="0">
      <alignment horizontal="center"/>
    </xf>
    <xf numFmtId="49" fontId="20" fillId="0" borderId="31" applyAlignment="1" pivotButton="0" quotePrefix="0" xfId="0">
      <alignment horizontal="center"/>
    </xf>
    <xf numFmtId="0" fontId="20" fillId="0" borderId="31" applyAlignment="1" pivotButton="0" quotePrefix="0" xfId="0">
      <alignment horizontal="center"/>
    </xf>
    <xf numFmtId="9" fontId="20" fillId="0" borderId="31" applyAlignment="1" pivotButton="0" quotePrefix="0" xfId="0">
      <alignment horizontal="center"/>
    </xf>
    <xf numFmtId="0" fontId="64" fillId="0" borderId="25" applyAlignment="1" pivotButton="0" quotePrefix="0" xfId="0">
      <alignment horizontal="center"/>
    </xf>
    <xf numFmtId="0" fontId="20" fillId="0" borderId="0" applyAlignment="1" pivotButton="0" quotePrefix="0" xfId="0">
      <alignment horizontal="center"/>
    </xf>
    <xf numFmtId="0" fontId="64" fillId="0" borderId="0" applyAlignment="1" pivotButton="0" quotePrefix="0" xfId="0">
      <alignment horizontal="center"/>
    </xf>
    <xf numFmtId="0" fontId="20" fillId="0" borderId="31" applyAlignment="1" pivotButton="0" quotePrefix="0" xfId="0">
      <alignment wrapText="1"/>
    </xf>
    <xf numFmtId="49" fontId="64" fillId="0" borderId="31" applyAlignment="1" pivotButton="0" quotePrefix="0" xfId="0">
      <alignment horizontal="center"/>
    </xf>
    <xf numFmtId="9" fontId="64" fillId="0" borderId="0" applyAlignment="1" pivotButton="0" quotePrefix="0" xfId="0">
      <alignment horizontal="center"/>
    </xf>
    <xf numFmtId="0" fontId="20" fillId="5" borderId="0" applyAlignment="1" pivotButton="0" quotePrefix="0" xfId="0">
      <alignment horizontal="center"/>
    </xf>
    <xf numFmtId="0" fontId="64" fillId="5" borderId="11" applyAlignment="1" pivotButton="0" quotePrefix="0" xfId="0">
      <alignment wrapText="1"/>
    </xf>
    <xf numFmtId="0" fontId="64" fillId="5" borderId="11" applyAlignment="1" pivotButton="0" quotePrefix="0" xfId="0">
      <alignment horizontal="center"/>
    </xf>
    <xf numFmtId="0" fontId="20" fillId="5" borderId="11" applyAlignment="1" pivotButton="0" quotePrefix="0" xfId="0">
      <alignment horizontal="center"/>
    </xf>
    <xf numFmtId="49" fontId="64" fillId="5" borderId="11" applyAlignment="1" pivotButton="0" quotePrefix="0" xfId="0">
      <alignment horizontal="center"/>
    </xf>
    <xf numFmtId="0" fontId="20" fillId="3" borderId="11" applyAlignment="1" pivotButton="0" quotePrefix="0" xfId="0">
      <alignment horizontal="center"/>
    </xf>
    <xf numFmtId="0" fontId="20" fillId="0" borderId="0" applyAlignment="1" pivotButton="0" quotePrefix="0" xfId="0">
      <alignment wrapText="1"/>
    </xf>
    <xf numFmtId="0" fontId="105" fillId="0" borderId="0" applyAlignment="1" pivotButton="0" quotePrefix="0" xfId="0">
      <alignment horizontal="right"/>
    </xf>
    <xf numFmtId="0" fontId="106" fillId="0" borderId="0" applyAlignment="1" pivotButton="0" quotePrefix="0" xfId="0">
      <alignment horizontal="center"/>
    </xf>
    <xf numFmtId="0" fontId="106" fillId="0" borderId="0" applyAlignment="1" pivotButton="0" quotePrefix="0" xfId="0">
      <alignment horizontal="center" vertical="top"/>
    </xf>
    <xf numFmtId="0" fontId="70" fillId="0" borderId="0" applyAlignment="1" pivotButton="0" quotePrefix="0" xfId="0">
      <alignment horizontal="left"/>
    </xf>
    <xf numFmtId="49" fontId="70" fillId="0" borderId="0" applyAlignment="1" pivotButton="0" quotePrefix="0" xfId="0">
      <alignment horizontal="center"/>
    </xf>
    <xf numFmtId="0" fontId="70" fillId="0" borderId="0" applyAlignment="1" pivotButton="0" quotePrefix="0" xfId="0">
      <alignment horizontal="center"/>
    </xf>
    <xf numFmtId="0" fontId="70" fillId="0" borderId="0" applyAlignment="1" pivotButton="0" quotePrefix="0" xfId="0">
      <alignment horizontal="right"/>
    </xf>
    <xf numFmtId="0" fontId="107" fillId="0" borderId="0" applyAlignment="1" pivotButton="0" quotePrefix="0" xfId="0">
      <alignment vertical="center"/>
    </xf>
    <xf numFmtId="14" fontId="70" fillId="0" borderId="0" applyAlignment="1" pivotButton="0" quotePrefix="0" xfId="0">
      <alignment horizontal="left"/>
    </xf>
    <xf numFmtId="0" fontId="39" fillId="0" borderId="11" applyAlignment="1" pivotButton="0" quotePrefix="0" xfId="0">
      <alignment horizontal="center" vertical="center" wrapText="1"/>
    </xf>
    <xf numFmtId="49" fontId="39" fillId="0" borderId="11" applyAlignment="1" pivotButton="0" quotePrefix="0" xfId="0">
      <alignment horizontal="center" vertical="center" wrapText="1"/>
    </xf>
    <xf numFmtId="211" fontId="39" fillId="0" borderId="11" applyAlignment="1" pivotButton="0" quotePrefix="0" xfId="0">
      <alignment horizontal="center"/>
    </xf>
    <xf numFmtId="0" fontId="108" fillId="0" borderId="11" applyAlignment="1" pivotButton="0" quotePrefix="0" xfId="0">
      <alignment horizontal="center"/>
    </xf>
    <xf numFmtId="9" fontId="109" fillId="0" borderId="0" pivotButton="0" quotePrefix="0" xfId="0"/>
    <xf numFmtId="0" fontId="110" fillId="0" borderId="11" applyAlignment="1" pivotButton="0" quotePrefix="0" xfId="0">
      <alignment horizontal="center"/>
    </xf>
    <xf numFmtId="0" fontId="23" fillId="0" borderId="11" applyAlignment="1" pivotButton="0" quotePrefix="0" xfId="0">
      <alignment wrapText="1"/>
    </xf>
    <xf numFmtId="0" fontId="23" fillId="0" borderId="11" applyAlignment="1" pivotButton="0" quotePrefix="0" xfId="0">
      <alignment horizontal="center"/>
    </xf>
    <xf numFmtId="0" fontId="111" fillId="0" borderId="11" applyAlignment="1" pivotButton="0" quotePrefix="0" xfId="0">
      <alignment horizontal="center"/>
    </xf>
    <xf numFmtId="4" fontId="112" fillId="0" borderId="11" applyAlignment="1" pivotButton="0" quotePrefix="0" xfId="0">
      <alignment wrapText="1"/>
    </xf>
    <xf numFmtId="0" fontId="112" fillId="0" borderId="11" applyAlignment="1" pivotButton="0" quotePrefix="0" xfId="0">
      <alignment horizontal="center"/>
    </xf>
    <xf numFmtId="212" fontId="108" fillId="0" borderId="11" applyAlignment="1" pivotButton="0" quotePrefix="0" xfId="0">
      <alignment horizontal="left"/>
    </xf>
    <xf numFmtId="14" fontId="108" fillId="0" borderId="11" applyAlignment="1" pivotButton="0" quotePrefix="0" xfId="0">
      <alignment horizontal="center"/>
    </xf>
    <xf numFmtId="0" fontId="44" fillId="0" borderId="11" applyAlignment="1" pivotButton="0" quotePrefix="0" xfId="0">
      <alignment horizontal="center"/>
    </xf>
    <xf numFmtId="212" fontId="44" fillId="0" borderId="11" applyAlignment="1" pivotButton="0" quotePrefix="0" xfId="0">
      <alignment horizontal="left"/>
    </xf>
    <xf numFmtId="49" fontId="44" fillId="0" borderId="11" applyAlignment="1" pivotButton="0" quotePrefix="0" xfId="0">
      <alignment horizontal="center"/>
    </xf>
    <xf numFmtId="14" fontId="44" fillId="0" borderId="11" applyAlignment="1" pivotButton="0" quotePrefix="0" xfId="0">
      <alignment horizontal="center"/>
    </xf>
    <xf numFmtId="0" fontId="44" fillId="0" borderId="11" pivotButton="0" quotePrefix="0" xfId="0"/>
    <xf numFmtId="213" fontId="44" fillId="0" borderId="0" pivotButton="0" quotePrefix="0" xfId="0"/>
    <xf numFmtId="212" fontId="39" fillId="0" borderId="11" applyAlignment="1" pivotButton="0" quotePrefix="0" xfId="0">
      <alignment horizontal="left"/>
    </xf>
    <xf numFmtId="49" fontId="39" fillId="0" borderId="11" applyAlignment="1" pivotButton="0" quotePrefix="0" xfId="0">
      <alignment horizontal="center"/>
    </xf>
    <xf numFmtId="14" fontId="39" fillId="0" borderId="11" applyAlignment="1" pivotButton="0" quotePrefix="0" xfId="0">
      <alignment horizontal="center"/>
    </xf>
    <xf numFmtId="0" fontId="39" fillId="0" borderId="11" pivotButton="0" quotePrefix="0" xfId="0"/>
    <xf numFmtId="0" fontId="45" fillId="0" borderId="0" applyAlignment="1" pivotButton="0" quotePrefix="0" xfId="0">
      <alignment horizontal="center"/>
    </xf>
    <xf numFmtId="0" fontId="78" fillId="0" borderId="0" applyAlignment="1" pivotButton="0" quotePrefix="0" xfId="0">
      <alignment horizontal="center"/>
    </xf>
    <xf numFmtId="0" fontId="113" fillId="3" borderId="11" applyAlignment="1" pivotButton="0" quotePrefix="0" xfId="0">
      <alignment horizontal="center" vertical="center"/>
    </xf>
    <xf numFmtId="0" fontId="114" fillId="3" borderId="11" applyAlignment="1" pivotButton="0" quotePrefix="0" xfId="0">
      <alignment horizontal="center" vertical="center"/>
    </xf>
    <xf numFmtId="0" fontId="115" fillId="3" borderId="11" applyAlignment="1" pivotButton="0" quotePrefix="0" xfId="0">
      <alignment horizontal="center" vertical="center" wrapText="1"/>
    </xf>
    <xf numFmtId="0" fontId="115" fillId="3" borderId="11" applyAlignment="1" pivotButton="0" quotePrefix="0" xfId="0">
      <alignment horizontal="center" vertical="center"/>
    </xf>
    <xf numFmtId="214" fontId="114" fillId="6" borderId="11" applyAlignment="1" pivotButton="0" quotePrefix="0" xfId="0">
      <alignment horizontal="center" vertical="center"/>
    </xf>
    <xf numFmtId="0" fontId="114" fillId="7" borderId="11" applyAlignment="1" pivotButton="0" quotePrefix="0" xfId="0">
      <alignment horizontal="center" vertical="center"/>
    </xf>
    <xf numFmtId="0" fontId="116" fillId="0" borderId="11" applyAlignment="1" pivotButton="0" quotePrefix="0" xfId="0">
      <alignment horizontal="center" vertical="center"/>
    </xf>
    <xf numFmtId="0" fontId="117" fillId="0" borderId="11" applyAlignment="1" pivotButton="0" quotePrefix="0" xfId="0">
      <alignment vertical="center"/>
    </xf>
    <xf numFmtId="0" fontId="118" fillId="0" borderId="11" applyAlignment="1" pivotButton="0" quotePrefix="0" xfId="0">
      <alignment vertical="center"/>
    </xf>
    <xf numFmtId="0" fontId="119" fillId="0" borderId="11" applyAlignment="1" pivotButton="0" quotePrefix="0" xfId="0">
      <alignment vertical="center"/>
    </xf>
    <xf numFmtId="0" fontId="120" fillId="0" borderId="0" pivotButton="0" quotePrefix="0" xfId="0"/>
    <xf numFmtId="0" fontId="121" fillId="3" borderId="11" pivotButton="0" quotePrefix="0" xfId="0"/>
    <xf numFmtId="214" fontId="25" fillId="6" borderId="11" pivotButton="0" quotePrefix="0" xfId="0"/>
    <xf numFmtId="0" fontId="25" fillId="7" borderId="11" pivotButton="0" quotePrefix="0" xfId="0"/>
    <xf numFmtId="0" fontId="116" fillId="3" borderId="11" applyAlignment="1" pivotButton="0" quotePrefix="0" xfId="0">
      <alignment horizontal="center" vertical="center"/>
    </xf>
    <xf numFmtId="0" fontId="118" fillId="3" borderId="11" applyAlignment="1" pivotButton="0" quotePrefix="0" xfId="0">
      <alignment vertical="center"/>
    </xf>
    <xf numFmtId="0" fontId="119" fillId="3" borderId="11" applyAlignment="1" pivotButton="0" quotePrefix="0" xfId="0">
      <alignment vertical="center"/>
    </xf>
    <xf numFmtId="214" fontId="25" fillId="3" borderId="11" pivotButton="0" quotePrefix="0" xfId="0"/>
    <xf numFmtId="0" fontId="25" fillId="3" borderId="11" pivotButton="0" quotePrefix="0" xfId="0"/>
    <xf numFmtId="0" fontId="120" fillId="3" borderId="0" pivotButton="0" quotePrefix="0" xfId="0"/>
    <xf numFmtId="0" fontId="25" fillId="3" borderId="0" pivotButton="0" quotePrefix="0" xfId="0"/>
    <xf numFmtId="0" fontId="122" fillId="0" borderId="0" pivotButton="0" quotePrefix="0" xfId="0"/>
    <xf numFmtId="0" fontId="25" fillId="0" borderId="11" pivotButton="0" quotePrefix="0" xfId="0"/>
    <xf numFmtId="2" fontId="25" fillId="6" borderId="11" pivotButton="0" quotePrefix="0" xfId="0"/>
    <xf numFmtId="0" fontId="116" fillId="7" borderId="11" applyAlignment="1" pivotButton="0" quotePrefix="0" xfId="0">
      <alignment horizontal="center" vertical="center"/>
    </xf>
    <xf numFmtId="0" fontId="116" fillId="0" borderId="11" applyAlignment="1" pivotButton="0" quotePrefix="0" xfId="0">
      <alignment horizontal="center"/>
    </xf>
    <xf numFmtId="0" fontId="123" fillId="0" borderId="11" applyAlignment="1" pivotButton="0" quotePrefix="0" xfId="0">
      <alignment horizontal="center"/>
    </xf>
    <xf numFmtId="0" fontId="124" fillId="0" borderId="11" pivotButton="0" quotePrefix="0" xfId="0"/>
    <xf numFmtId="0" fontId="125" fillId="0" borderId="11" pivotButton="0" quotePrefix="0" xfId="0"/>
    <xf numFmtId="0" fontId="124" fillId="0" borderId="11" applyAlignment="1" pivotButton="0" quotePrefix="0" xfId="0">
      <alignment horizontal="left"/>
    </xf>
    <xf numFmtId="0" fontId="124" fillId="3" borderId="11" applyAlignment="1" pivotButton="0" quotePrefix="0" xfId="0">
      <alignment horizontal="left"/>
    </xf>
    <xf numFmtId="0" fontId="116" fillId="3" borderId="11" applyAlignment="1" pivotButton="0" quotePrefix="0" xfId="0">
      <alignment horizontal="center"/>
    </xf>
    <xf numFmtId="0" fontId="126" fillId="0" borderId="11" applyAlignment="1" pivotButton="0" quotePrefix="0" xfId="0">
      <alignment vertical="center"/>
    </xf>
    <xf numFmtId="0" fontId="126" fillId="0" borderId="11" applyAlignment="1" pivotButton="0" quotePrefix="0" xfId="0">
      <alignment horizontal="left" vertical="center"/>
    </xf>
    <xf numFmtId="0" fontId="123" fillId="8" borderId="11" applyAlignment="1" pivotButton="0" quotePrefix="0" xfId="0">
      <alignment horizontal="center" vertical="center"/>
    </xf>
    <xf numFmtId="0" fontId="126" fillId="0" borderId="11" applyAlignment="1" pivotButton="0" quotePrefix="0" xfId="0">
      <alignment vertical="top"/>
    </xf>
    <xf numFmtId="0" fontId="127" fillId="0" borderId="11" applyAlignment="1" pivotButton="0" quotePrefix="0" xfId="0">
      <alignment horizontal="center"/>
    </xf>
    <xf numFmtId="0" fontId="128" fillId="0" borderId="11" pivotButton="0" quotePrefix="0" xfId="0"/>
    <xf numFmtId="0" fontId="123" fillId="0" borderId="11" applyAlignment="1" pivotButton="0" quotePrefix="0" xfId="0">
      <alignment vertical="center"/>
    </xf>
    <xf numFmtId="0" fontId="123" fillId="0" borderId="80" applyAlignment="1" pivotButton="0" quotePrefix="0" xfId="0">
      <alignment vertical="top"/>
    </xf>
    <xf numFmtId="0" fontId="125" fillId="0" borderId="80" applyAlignment="1" pivotButton="0" quotePrefix="0" xfId="0">
      <alignment vertical="top"/>
    </xf>
    <xf numFmtId="0" fontId="126" fillId="0" borderId="0" applyAlignment="1" pivotButton="0" quotePrefix="0" xfId="0">
      <alignment vertical="center"/>
    </xf>
    <xf numFmtId="0" fontId="126" fillId="0" borderId="0" applyAlignment="1" pivotButton="0" quotePrefix="0" xfId="0">
      <alignment vertical="top"/>
    </xf>
    <xf numFmtId="0" fontId="123" fillId="0" borderId="0" pivotButton="0" quotePrefix="0" xfId="0"/>
    <xf numFmtId="0" fontId="127" fillId="0" borderId="11" applyAlignment="1" pivotButton="0" quotePrefix="0" xfId="0">
      <alignment vertical="top"/>
    </xf>
    <xf numFmtId="0" fontId="127" fillId="0" borderId="11" applyAlignment="1" pivotButton="0" quotePrefix="0" xfId="0">
      <alignment horizontal="right" vertical="top"/>
    </xf>
    <xf numFmtId="0" fontId="120" fillId="0" borderId="11" pivotButton="0" quotePrefix="0" xfId="0"/>
    <xf numFmtId="0" fontId="125" fillId="0" borderId="11" applyAlignment="1" pivotButton="0" quotePrefix="0" xfId="0">
      <alignment vertical="top"/>
    </xf>
    <xf numFmtId="0" fontId="116" fillId="9" borderId="11" applyAlignment="1" pivotButton="0" quotePrefix="0" xfId="0">
      <alignment horizontal="center"/>
    </xf>
    <xf numFmtId="0" fontId="25" fillId="9" borderId="11" pivotButton="0" quotePrefix="0" xfId="0"/>
    <xf numFmtId="0" fontId="121" fillId="9" borderId="11" pivotButton="0" quotePrefix="0" xfId="0"/>
    <xf numFmtId="214" fontId="25" fillId="9" borderId="11" pivotButton="0" quotePrefix="0" xfId="0"/>
    <xf numFmtId="0" fontId="25" fillId="9" borderId="0" pivotButton="0" quotePrefix="0" xfId="0"/>
    <xf numFmtId="0" fontId="120" fillId="9" borderId="0" pivotButton="0" quotePrefix="0" xfId="0"/>
    <xf numFmtId="0" fontId="121" fillId="0" borderId="11" pivotButton="0" quotePrefix="0" xfId="0"/>
    <xf numFmtId="16" fontId="25" fillId="0" borderId="0" pivotButton="0" quotePrefix="0" xfId="0"/>
    <xf numFmtId="0" fontId="123" fillId="0" borderId="0" applyAlignment="1" pivotButton="0" quotePrefix="0" xfId="0">
      <alignment vertical="center"/>
    </xf>
    <xf numFmtId="0" fontId="117" fillId="0" borderId="11" applyAlignment="1" pivotButton="0" quotePrefix="0" xfId="0">
      <alignment vertical="top"/>
    </xf>
    <xf numFmtId="0" fontId="129" fillId="0" borderId="11" applyAlignment="1" pivotButton="0" quotePrefix="0" xfId="0">
      <alignment horizontal="center"/>
    </xf>
    <xf numFmtId="0" fontId="126" fillId="0" borderId="0" applyAlignment="1" pivotButton="0" quotePrefix="0" xfId="0">
      <alignment horizontal="left" vertical="center"/>
    </xf>
    <xf numFmtId="214" fontId="121" fillId="3" borderId="11" pivotButton="0" quotePrefix="0" xfId="0"/>
    <xf numFmtId="0" fontId="130" fillId="0" borderId="81" applyAlignment="1" pivotButton="0" quotePrefix="0" xfId="0">
      <alignment vertical="center" shrinkToFit="1"/>
    </xf>
    <xf numFmtId="0" fontId="131" fillId="0" borderId="11" applyAlignment="1" pivotButton="0" quotePrefix="0" xfId="0">
      <alignment vertical="top"/>
    </xf>
    <xf numFmtId="0" fontId="120" fillId="3" borderId="11" pivotButton="0" quotePrefix="0" xfId="0"/>
    <xf numFmtId="0" fontId="125" fillId="0" borderId="27" applyAlignment="1" pivotButton="0" quotePrefix="0" xfId="0">
      <alignment vertical="top"/>
    </xf>
    <xf numFmtId="0" fontId="125" fillId="0" borderId="0" applyAlignment="1" pivotButton="0" quotePrefix="0" xfId="0">
      <alignment vertical="top"/>
    </xf>
    <xf numFmtId="0" fontId="132" fillId="0" borderId="0" applyAlignment="1" pivotButton="0" quotePrefix="0" xfId="0">
      <alignment horizontal="left"/>
    </xf>
    <xf numFmtId="0" fontId="132" fillId="0" borderId="0" pivotButton="0" quotePrefix="0" xfId="0"/>
    <xf numFmtId="0" fontId="130" fillId="0" borderId="0" applyAlignment="1" pivotButton="0" quotePrefix="0" xfId="0">
      <alignment wrapText="1"/>
    </xf>
    <xf numFmtId="0" fontId="130" fillId="0" borderId="0" pivotButton="0" quotePrefix="0" xfId="0"/>
    <xf numFmtId="0" fontId="130" fillId="0" borderId="0" applyAlignment="1" pivotButton="0" quotePrefix="0" xfId="0">
      <alignment horizontal="left"/>
    </xf>
    <xf numFmtId="0" fontId="133" fillId="0" borderId="0" applyAlignment="1" pivotButton="0" quotePrefix="0" xfId="0">
      <alignment horizontal="left"/>
    </xf>
    <xf numFmtId="0" fontId="134" fillId="0" borderId="0" applyAlignment="1" pivotButton="0" quotePrefix="0" xfId="0">
      <alignment horizontal="center"/>
    </xf>
    <xf numFmtId="0" fontId="130" fillId="0" borderId="26" pivotButton="0" quotePrefix="0" xfId="0"/>
    <xf numFmtId="0" fontId="135" fillId="0" borderId="27" applyAlignment="1" pivotButton="0" quotePrefix="0" xfId="0">
      <alignment horizontal="left"/>
    </xf>
    <xf numFmtId="0" fontId="136" fillId="0" borderId="26" pivotButton="0" quotePrefix="0" xfId="0"/>
    <xf numFmtId="0" fontId="132" fillId="0" borderId="27" applyAlignment="1" pivotButton="0" quotePrefix="0" xfId="0">
      <alignment horizontal="left"/>
    </xf>
    <xf numFmtId="0" fontId="130" fillId="0" borderId="27" pivotButton="0" quotePrefix="0" xfId="0"/>
    <xf numFmtId="0" fontId="130" fillId="0" borderId="28" pivotButton="0" quotePrefix="0" xfId="0"/>
    <xf numFmtId="0" fontId="137" fillId="0" borderId="16" pivotButton="0" quotePrefix="0" xfId="0"/>
    <xf numFmtId="0" fontId="130" fillId="0" borderId="0" applyAlignment="1" pivotButton="0" quotePrefix="0" xfId="0">
      <alignment horizontal="left" vertical="top" wrapText="1"/>
    </xf>
    <xf numFmtId="0" fontId="130" fillId="0" borderId="16" pivotButton="0" quotePrefix="0" xfId="0"/>
    <xf numFmtId="215" fontId="130" fillId="0" borderId="0" applyAlignment="1" pivotButton="0" quotePrefix="0" xfId="0">
      <alignment horizontal="left"/>
    </xf>
    <xf numFmtId="0" fontId="130" fillId="0" borderId="14" pivotButton="0" quotePrefix="0" xfId="0"/>
    <xf numFmtId="0" fontId="130" fillId="0" borderId="21" pivotButton="0" quotePrefix="0" xfId="0"/>
    <xf numFmtId="0" fontId="130" fillId="0" borderId="19" applyAlignment="1" pivotButton="0" quotePrefix="0" xfId="0">
      <alignment horizontal="left"/>
    </xf>
    <xf numFmtId="0" fontId="138" fillId="0" borderId="26" pivotButton="0" quotePrefix="0" xfId="0"/>
    <xf numFmtId="0" fontId="137" fillId="0" borderId="14" pivotButton="0" quotePrefix="0" xfId="0"/>
    <xf numFmtId="0" fontId="130" fillId="0" borderId="16" applyAlignment="1" pivotButton="0" quotePrefix="0" xfId="0">
      <alignment horizontal="left"/>
    </xf>
    <xf numFmtId="0" fontId="130" fillId="0" borderId="20" pivotButton="0" quotePrefix="0" xfId="0"/>
    <xf numFmtId="0" fontId="130" fillId="0" borderId="19" pivotButton="0" quotePrefix="0" xfId="0"/>
    <xf numFmtId="0" fontId="136" fillId="0" borderId="16" applyAlignment="1" pivotButton="0" quotePrefix="0" xfId="0">
      <alignment horizontal="center" vertical="center"/>
    </xf>
    <xf numFmtId="0" fontId="139" fillId="0" borderId="0" pivotButton="0" quotePrefix="0" xfId="0"/>
    <xf numFmtId="0" fontId="135" fillId="0" borderId="31" applyAlignment="1" pivotButton="0" quotePrefix="0" xfId="0">
      <alignment horizontal="left"/>
    </xf>
    <xf numFmtId="0" fontId="138" fillId="0" borderId="27" pivotButton="0" quotePrefix="0" xfId="0"/>
    <xf numFmtId="0" fontId="138" fillId="0" borderId="28" pivotButton="0" quotePrefix="0" xfId="0"/>
    <xf numFmtId="0" fontId="130" fillId="0" borderId="33" applyAlignment="1" pivotButton="0" quotePrefix="0" xfId="0">
      <alignment vertical="center"/>
    </xf>
    <xf numFmtId="0" fontId="140" fillId="0" borderId="16" applyAlignment="1" pivotButton="0" quotePrefix="0" xfId="0">
      <alignment horizontal="center"/>
    </xf>
    <xf numFmtId="0" fontId="135" fillId="0" borderId="33" applyAlignment="1" pivotButton="0" quotePrefix="0" xfId="0">
      <alignment horizontal="left"/>
    </xf>
    <xf numFmtId="0" fontId="141" fillId="0" borderId="32" applyAlignment="1" pivotButton="0" quotePrefix="0" xfId="0">
      <alignment horizontal="center" wrapText="1"/>
    </xf>
    <xf numFmtId="0" fontId="142" fillId="0" borderId="33" applyAlignment="1" pivotButton="0" quotePrefix="0" xfId="0">
      <alignment horizontal="center" vertical="center"/>
    </xf>
    <xf numFmtId="0" fontId="130" fillId="0" borderId="16" applyAlignment="1" pivotButton="0" quotePrefix="0" xfId="0">
      <alignment horizontal="center" vertical="center"/>
    </xf>
    <xf numFmtId="0" fontId="142" fillId="0" borderId="33" applyAlignment="1" pivotButton="0" quotePrefix="0" xfId="0">
      <alignment horizontal="center"/>
    </xf>
    <xf numFmtId="0" fontId="138" fillId="0" borderId="21" applyAlignment="1" pivotButton="0" quotePrefix="0" xfId="0">
      <alignment horizontal="center"/>
    </xf>
    <xf numFmtId="0" fontId="138" fillId="0" borderId="20" applyAlignment="1" pivotButton="0" quotePrefix="0" xfId="0">
      <alignment horizontal="center"/>
    </xf>
    <xf numFmtId="0" fontId="142" fillId="0" borderId="32" applyAlignment="1" pivotButton="0" quotePrefix="0" xfId="0">
      <alignment horizontal="center"/>
    </xf>
    <xf numFmtId="0" fontId="136" fillId="0" borderId="11" applyAlignment="1" pivotButton="0" quotePrefix="0" xfId="0">
      <alignment horizontal="center" vertical="center" wrapText="1"/>
    </xf>
    <xf numFmtId="0" fontId="136" fillId="0" borderId="11" applyAlignment="1" pivotButton="0" quotePrefix="0" xfId="0">
      <alignment horizontal="center" vertical="center"/>
    </xf>
    <xf numFmtId="1" fontId="130" fillId="0" borderId="16" applyAlignment="1" pivotButton="0" quotePrefix="0" xfId="0">
      <alignment horizontal="center" vertical="center"/>
    </xf>
    <xf numFmtId="4" fontId="130" fillId="0" borderId="31" applyAlignment="1" pivotButton="0" quotePrefix="0" xfId="0">
      <alignment horizontal="left" vertical="center"/>
    </xf>
    <xf numFmtId="0" fontId="143" fillId="0" borderId="33" applyAlignment="1" pivotButton="0" quotePrefix="0" xfId="0">
      <alignment horizontal="center" vertical="center"/>
    </xf>
    <xf numFmtId="43" fontId="143" fillId="0" borderId="33" applyAlignment="1" pivotButton="0" quotePrefix="0" xfId="0">
      <alignment horizontal="center" vertical="center"/>
    </xf>
    <xf numFmtId="200" fontId="139" fillId="0" borderId="33" pivotButton="0" quotePrefix="0" xfId="0"/>
    <xf numFmtId="43" fontId="130" fillId="0" borderId="33" applyAlignment="1" pivotButton="0" quotePrefix="0" xfId="0">
      <alignment horizontal="center" vertical="center"/>
    </xf>
    <xf numFmtId="0" fontId="139" fillId="0" borderId="33" pivotButton="0" quotePrefix="0" xfId="0"/>
    <xf numFmtId="200" fontId="139" fillId="0" borderId="33" applyAlignment="1" pivotButton="0" quotePrefix="0" xfId="0">
      <alignment horizontal="right"/>
    </xf>
    <xf numFmtId="4" fontId="130" fillId="0" borderId="33" applyAlignment="1" pivotButton="0" quotePrefix="0" xfId="0">
      <alignment horizontal="left" vertical="center"/>
    </xf>
    <xf numFmtId="200" fontId="130" fillId="0" borderId="33" applyAlignment="1" pivotButton="0" quotePrefix="0" xfId="0">
      <alignment horizontal="right"/>
    </xf>
    <xf numFmtId="0" fontId="130" fillId="0" borderId="33" pivotButton="0" quotePrefix="0" xfId="0"/>
    <xf numFmtId="43" fontId="130" fillId="0" borderId="16" applyAlignment="1" pivotButton="0" quotePrefix="0" xfId="0">
      <alignment horizontal="center" vertical="center"/>
    </xf>
    <xf numFmtId="43" fontId="130" fillId="0" borderId="14" applyAlignment="1" pivotButton="0" quotePrefix="0" xfId="0">
      <alignment horizontal="center" vertical="center"/>
    </xf>
    <xf numFmtId="0" fontId="130" fillId="0" borderId="25" applyAlignment="1" pivotButton="0" quotePrefix="0" xfId="0">
      <alignment horizontal="left" vertical="center"/>
    </xf>
    <xf numFmtId="0" fontId="143" fillId="0" borderId="24" applyAlignment="1" pivotButton="0" quotePrefix="0" xfId="0">
      <alignment horizontal="center" vertical="center"/>
    </xf>
    <xf numFmtId="3" fontId="130" fillId="0" borderId="24" applyAlignment="1" pivotButton="0" quotePrefix="0" xfId="0">
      <alignment horizontal="right"/>
    </xf>
    <xf numFmtId="169" fontId="130" fillId="0" borderId="65" applyAlignment="1" pivotButton="0" quotePrefix="0" xfId="0">
      <alignment horizontal="center" vertical="center"/>
    </xf>
    <xf numFmtId="0" fontId="136" fillId="0" borderId="25" applyAlignment="1" pivotButton="0" quotePrefix="0" xfId="0">
      <alignment horizontal="center" vertical="center"/>
    </xf>
    <xf numFmtId="0" fontId="130" fillId="0" borderId="24" pivotButton="0" quotePrefix="0" xfId="0"/>
    <xf numFmtId="43" fontId="136" fillId="0" borderId="65" applyAlignment="1" pivotButton="0" quotePrefix="0" xfId="0">
      <alignment horizontal="center"/>
    </xf>
    <xf numFmtId="0" fontId="144" fillId="0" borderId="0" applyAlignment="1" pivotButton="0" quotePrefix="0" xfId="0">
      <alignment horizontal="left" wrapText="1"/>
    </xf>
    <xf numFmtId="0" fontId="42" fillId="0" borderId="0" applyAlignment="1" pivotButton="0" quotePrefix="0" xfId="0">
      <alignment horizontal="left" wrapText="1"/>
    </xf>
    <xf numFmtId="0" fontId="137" fillId="0" borderId="0" applyAlignment="1" pivotButton="0" quotePrefix="0" xfId="0">
      <alignment horizontal="left" wrapText="1"/>
    </xf>
    <xf numFmtId="0" fontId="137" fillId="0" borderId="0" pivotButton="0" quotePrefix="0" xfId="0"/>
    <xf numFmtId="0" fontId="130" fillId="0" borderId="0" applyAlignment="1" pivotButton="0" quotePrefix="0" xfId="0">
      <alignment horizontal="left" wrapText="1"/>
    </xf>
    <xf numFmtId="0" fontId="4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77"/>
  <sheetViews>
    <sheetView showGridLines="1" showRowColHeaders="1" view="pageBreakPreview" workbookViewId="0">
      <selection activeCell="A1" sqref="A1"/>
    </sheetView>
  </sheetViews>
  <sheetFormatPr baseColWidth="8" defaultRowHeight="15"/>
  <cols>
    <col width="20.4" customWidth="1" min="1" max="1"/>
    <col width="18.75" customWidth="1" min="2" max="2"/>
    <col width="17" customWidth="1" min="3" max="3"/>
    <col width="16" customWidth="1" min="4" max="4"/>
    <col width="14.4" customWidth="1" min="5" max="5"/>
    <col width="11" customWidth="1" min="6" max="6"/>
    <col width="18.125" customWidth="1" min="7" max="7"/>
    <col width="9" customWidth="1" min="8" max="8"/>
  </cols>
  <sheetData>
    <row r="1" ht="27.95" customHeight="1">
      <c r="A1" s="1" t="inlineStr">
        <is>
          <t>CALIFOR UPHOLSTERY MATERIALS CO., LTD.</t>
        </is>
      </c>
      <c r="H1" s="2" t="n"/>
    </row>
    <row r="2" ht="26.25" customHeight="1">
      <c r="A2" s="3" t="inlineStr">
        <is>
          <t>XIN BAVET SEZ, Road No. 316A, Trapeang Bon and  Prey Kokir  Villages, Prey Kokir  Commune, Chantrea District,</t>
        </is>
      </c>
      <c r="H2" s="4" t="n"/>
    </row>
    <row r="3" ht="16.5" customHeight="1">
      <c r="A3" s="5" t="inlineStr">
        <is>
          <t>Svay Rieng Province, Kingdom of Cambodia.</t>
        </is>
      </c>
      <c r="H3" s="6" t="n"/>
    </row>
    <row r="4" ht="16.5" customHeight="1">
      <c r="A4" s="5" t="inlineStr">
        <is>
          <t>VAT:L001-901903209</t>
        </is>
      </c>
      <c r="H4" s="6" t="n"/>
    </row>
    <row r="5" ht="16.5" customHeight="1">
      <c r="A5" s="3" t="inlineStr">
        <is>
          <t>Tel: +855   975910636</t>
        </is>
      </c>
      <c r="H5" s="4" t="n"/>
    </row>
    <row r="6" ht="15.75" customHeight="1">
      <c r="A6" s="7" t="n"/>
      <c r="B6" s="8" t="n"/>
      <c r="C6" s="7" t="n"/>
      <c r="D6" s="7" t="n"/>
      <c r="E6" s="7" t="n"/>
      <c r="F6" s="7" t="n"/>
      <c r="G6" s="9" t="n"/>
    </row>
    <row r="7" ht="23.25" customHeight="1">
      <c r="A7" s="1" t="inlineStr">
        <is>
          <t>INVOICE</t>
        </is>
      </c>
    </row>
    <row r="8" ht="15" customHeight="1">
      <c r="A8" s="10" t="inlineStr">
        <is>
          <t>RefNo.:</t>
        </is>
      </c>
      <c r="B8" s="11">
        <f>'PACKING LIST'!B7</f>
        <v/>
      </c>
      <c r="C8" s="4" t="n"/>
      <c r="D8" s="4" t="n"/>
      <c r="E8" s="4" t="n"/>
      <c r="F8" s="4" t="n"/>
    </row>
    <row r="9" ht="15.75" customHeight="1">
      <c r="A9" s="10" t="inlineStr">
        <is>
          <t>Invoice No:</t>
        </is>
      </c>
      <c r="B9" s="12">
        <f>'PACKING LIST'!B8</f>
        <v/>
      </c>
      <c r="E9" s="13" t="n"/>
      <c r="F9" s="14" t="n"/>
    </row>
    <row r="10" ht="15.75" customHeight="1">
      <c r="A10" s="10" t="inlineStr">
        <is>
          <t>Date:</t>
        </is>
      </c>
      <c r="B10" s="15">
        <f>'PACKING LIST'!B9</f>
        <v/>
      </c>
      <c r="D10" s="16" t="n"/>
      <c r="E10" s="13" t="n"/>
      <c r="F10" s="17" t="n"/>
    </row>
    <row r="11" ht="15.75" customHeight="1">
      <c r="A11" s="10" t="inlineStr">
        <is>
          <t>To:</t>
        </is>
      </c>
      <c r="B11" s="18" t="inlineStr">
        <is>
          <t>WANEK FURNITURE CO., LTD</t>
        </is>
      </c>
    </row>
    <row r="12" ht="15.75" customHeight="1">
      <c r="B12" s="18" t="inlineStr">
        <is>
          <t xml:space="preserve"> Lot D_5A_CN, D_5C_CN, D_5E_CN, My Phuoc 3 Industrial Park,</t>
        </is>
      </c>
    </row>
    <row r="13" ht="15.75" customHeight="1">
      <c r="B13" s="18" t="inlineStr">
        <is>
          <t>Thoi Hoa Ward, Ho Chi Minh City, Vietnam.</t>
        </is>
      </c>
    </row>
    <row r="14" ht="12.75" customHeight="1">
      <c r="A14" s="19" t="inlineStr">
        <is>
          <t>From :</t>
        </is>
      </c>
      <c r="B14" s="18">
        <f>'Detail packing list'!B13</f>
        <v/>
      </c>
      <c r="E14" s="20" t="n"/>
      <c r="F14" s="20" t="n"/>
    </row>
    <row r="15" ht="15.75" customHeight="1">
      <c r="A15" s="19" t="inlineStr">
        <is>
          <t>To :</t>
        </is>
      </c>
      <c r="B15" s="18" t="inlineStr">
        <is>
          <t>HO CHI MINH, VIET NAM.</t>
        </is>
      </c>
      <c r="D15" s="21" t="n"/>
    </row>
    <row r="16" ht="15.75" customHeight="1">
      <c r="A16" s="19" t="inlineStr">
        <is>
          <t>Payment Term:</t>
        </is>
      </c>
      <c r="B16" s="18">
        <f>'Detail packing list'!B15</f>
        <v/>
      </c>
      <c r="D16" s="21" t="n"/>
    </row>
    <row r="17" ht="15.75" customHeight="1">
      <c r="A17" s="19" t="inlineStr">
        <is>
          <t>Origin of goods:</t>
        </is>
      </c>
      <c r="B17" s="18">
        <f>'Detail packing list'!B16</f>
        <v/>
      </c>
      <c r="D17" s="21" t="n"/>
    </row>
    <row r="18" ht="15.75" customHeight="1">
      <c r="A18" s="19" t="inlineStr">
        <is>
          <t>Shipping term:</t>
        </is>
      </c>
      <c r="B18" s="18">
        <f>'Detail packing list'!B17</f>
        <v/>
      </c>
      <c r="E18" s="20" t="n"/>
      <c r="F18" s="20" t="n"/>
    </row>
    <row r="19" ht="15.75" customHeight="1">
      <c r="A19" s="19" t="inlineStr">
        <is>
          <t>Shipped Per:</t>
        </is>
      </c>
      <c r="B19" s="18" t="inlineStr">
        <is>
          <t>BY TRUCK FROM BAVET, SVAY RIENG, CAMBODIA TO HO CHI MINH, VIETNAM.</t>
        </is>
      </c>
      <c r="E19" s="20" t="n"/>
      <c r="F19" s="20" t="n"/>
    </row>
    <row r="20" ht="15.75" customHeight="1">
      <c r="A20" s="20" t="n"/>
      <c r="B20" s="22" t="n"/>
      <c r="E20" s="20" t="n"/>
      <c r="F20" s="20" t="n"/>
    </row>
    <row r="21" ht="15.75" customHeight="1">
      <c r="A21" s="20" t="n"/>
      <c r="B21" s="22" t="n"/>
      <c r="E21" s="20" t="n"/>
      <c r="F21" s="20" t="n"/>
    </row>
    <row r="22" ht="15.75" customHeight="1">
      <c r="A22" s="20" t="n"/>
      <c r="B22" s="22" t="n"/>
      <c r="E22" s="20" t="n"/>
      <c r="F22" s="20" t="n"/>
    </row>
    <row r="23" ht="15.75" customHeight="1">
      <c r="A23" s="20" t="n"/>
      <c r="B23" s="22" t="n"/>
      <c r="E23" s="20" t="n"/>
      <c r="F23" s="20" t="n"/>
    </row>
    <row r="24" ht="31.5" customHeight="1">
      <c r="A24" s="23" t="inlineStr">
        <is>
          <t>PO number</t>
        </is>
      </c>
      <c r="B24" s="23" t="inlineStr">
        <is>
          <t>Item No.</t>
        </is>
      </c>
      <c r="C24" s="23" t="inlineStr">
        <is>
          <t>Description of Goods</t>
        </is>
      </c>
      <c r="D24" s="24" t="inlineStr">
        <is>
          <t>Quantity</t>
        </is>
      </c>
      <c r="E24" s="24" t="inlineStr">
        <is>
          <t>Unit</t>
        </is>
      </c>
      <c r="F24" s="24" t="inlineStr">
        <is>
          <t>Unit Price        (USD)</t>
        </is>
      </c>
      <c r="G24" s="24" t="inlineStr">
        <is>
          <t>Amount
(USD)</t>
        </is>
      </c>
    </row>
    <row r="25" ht="23.25" customHeight="1">
      <c r="A25" s="25" t="inlineStr">
        <is>
          <t>PT29J74</t>
        </is>
      </c>
      <c r="C25" s="25" t="n">
        <v>140522</v>
      </c>
      <c r="D25" s="26" t="n">
        <v>48863.8</v>
      </c>
      <c r="E25" s="26" t="inlineStr">
        <is>
          <t>SF</t>
        </is>
      </c>
      <c r="F25" s="26" t="n">
        <v>1.42</v>
      </c>
      <c r="G25" s="26">
        <f>D25 * F25</f>
        <v/>
      </c>
    </row>
    <row r="26" ht="23.25" customHeight="1">
      <c r="A26" s="25" t="inlineStr">
        <is>
          <t>PT2CB00</t>
        </is>
      </c>
      <c r="C26" s="25" t="n">
        <v>140478</v>
      </c>
      <c r="D26" s="26" t="n">
        <v>14661.7</v>
      </c>
      <c r="E26" s="26" t="inlineStr">
        <is>
          <t>SF</t>
        </is>
      </c>
      <c r="F26" s="26" t="n">
        <v>0.86</v>
      </c>
      <c r="G26" s="26">
        <f>D26 * F26</f>
        <v/>
      </c>
    </row>
    <row r="27" ht="23.25" customHeight="1">
      <c r="A27" s="25" t="inlineStr">
        <is>
          <t>PT2CB01</t>
        </is>
      </c>
      <c r="C27" s="25" t="n">
        <v>140478</v>
      </c>
      <c r="D27" s="26" t="n">
        <v>61888.7</v>
      </c>
      <c r="E27" s="26" t="inlineStr">
        <is>
          <t>SF</t>
        </is>
      </c>
      <c r="F27" s="26" t="n">
        <v>0.86</v>
      </c>
      <c r="G27" s="26">
        <f>D27 * F27</f>
        <v/>
      </c>
    </row>
    <row r="28" ht="23.25" customHeight="1">
      <c r="A28" s="25" t="inlineStr">
        <is>
          <t>PT2CB13</t>
        </is>
      </c>
      <c r="C28" s="25" t="n">
        <v>140478</v>
      </c>
      <c r="D28" s="26" t="n">
        <v>49032</v>
      </c>
      <c r="E28" s="26" t="inlineStr">
        <is>
          <t>SF</t>
        </is>
      </c>
      <c r="F28" s="26" t="n">
        <v>0.86</v>
      </c>
      <c r="G28" s="26">
        <f>D28 * F28</f>
        <v/>
      </c>
    </row>
    <row r="29" ht="23.25" customHeight="1">
      <c r="A29" s="25" t="inlineStr">
        <is>
          <t>PT2CB07</t>
        </is>
      </c>
      <c r="C29" s="25" t="n">
        <v>140519</v>
      </c>
      <c r="D29" s="26" t="n">
        <v>29939.5</v>
      </c>
      <c r="E29" s="26" t="inlineStr">
        <is>
          <t>SF</t>
        </is>
      </c>
      <c r="F29" s="26" t="n">
        <v>0.89</v>
      </c>
      <c r="G29" s="26">
        <f>D29 * F29</f>
        <v/>
      </c>
    </row>
    <row r="30" ht="23.25" customHeight="1">
      <c r="A30" s="25" t="inlineStr">
        <is>
          <t>PT2CK66</t>
        </is>
      </c>
      <c r="C30" s="25" t="n">
        <v>140478</v>
      </c>
      <c r="D30" s="26" t="n">
        <v>58311.1</v>
      </c>
      <c r="E30" s="26" t="inlineStr">
        <is>
          <t>SF</t>
        </is>
      </c>
      <c r="F30" s="26" t="n">
        <v>0.86</v>
      </c>
      <c r="G30" s="26">
        <f>D30 * F30</f>
        <v/>
      </c>
    </row>
    <row r="31" ht="23.25" customHeight="1">
      <c r="A31" s="25" t="inlineStr">
        <is>
          <t>PT2CK68</t>
        </is>
      </c>
      <c r="C31" s="25" t="n">
        <v>140478</v>
      </c>
      <c r="D31" s="26" t="n">
        <v>30611.9</v>
      </c>
      <c r="E31" s="26" t="inlineStr">
        <is>
          <t>SF</t>
        </is>
      </c>
      <c r="F31" s="26" t="n">
        <v>0.86</v>
      </c>
      <c r="G31" s="26">
        <f>D31 * F31</f>
        <v/>
      </c>
    </row>
    <row r="32" ht="23.25" customHeight="1">
      <c r="A32" s="25" t="inlineStr">
        <is>
          <t>PT2CT53</t>
        </is>
      </c>
      <c r="C32" s="25" t="n">
        <v>140478</v>
      </c>
      <c r="D32" s="26" t="n">
        <v>30425.6</v>
      </c>
      <c r="E32" s="26" t="inlineStr">
        <is>
          <t>SF</t>
        </is>
      </c>
      <c r="F32" s="26" t="n">
        <v>0.86</v>
      </c>
      <c r="G32" s="26">
        <f>D32 * F32</f>
        <v/>
      </c>
    </row>
    <row r="33" ht="31.5" customHeight="1">
      <c r="A33" s="23" t="n"/>
      <c r="C33" s="23" t="inlineStr">
        <is>
          <t>TOTAL</t>
        </is>
      </c>
      <c r="D33" s="24">
        <f>SUM(D25:D32)</f>
        <v/>
      </c>
      <c r="E33" s="24" t="n"/>
      <c r="F33" s="24" t="n"/>
      <c r="G33" s="24">
        <f>SUM(G25:G32)</f>
        <v/>
      </c>
    </row>
    <row r="34" ht="22.5" customHeight="1">
      <c r="A34" s="2" t="n"/>
      <c r="B34" s="22" t="n"/>
      <c r="F34" s="27" t="n"/>
    </row>
    <row r="35" ht="15" customHeight="1">
      <c r="B35" s="22" t="n"/>
      <c r="E35" s="28" t="n"/>
    </row>
    <row r="36" ht="15" customHeight="1">
      <c r="B36" s="22" t="n"/>
    </row>
    <row r="37" ht="15" customHeight="1">
      <c r="A37" s="29">
        <f>A1</f>
        <v/>
      </c>
      <c r="B37" s="2" t="n"/>
      <c r="C37" s="2" t="n"/>
      <c r="D37" s="2" t="n"/>
      <c r="E37" s="2" t="n"/>
      <c r="F37" s="2" t="n"/>
      <c r="G37" s="2" t="n"/>
      <c r="H37" s="2" t="n"/>
    </row>
    <row r="38" ht="15" customHeight="1">
      <c r="A38" s="30" t="n"/>
      <c r="B38" s="31" t="n"/>
    </row>
    <row r="39" ht="15" customHeight="1">
      <c r="A39" s="30" t="n"/>
      <c r="B39" s="32" t="n"/>
    </row>
    <row r="40" ht="15" customHeight="1">
      <c r="A40" s="30" t="n"/>
      <c r="B40" s="33" t="n"/>
    </row>
    <row r="41">
      <c r="B41" s="22" t="n"/>
    </row>
    <row r="42">
      <c r="B42" s="22" t="n"/>
    </row>
    <row r="43">
      <c r="B43" s="22" t="n"/>
    </row>
    <row r="44">
      <c r="B44" s="22" t="n"/>
    </row>
    <row r="45">
      <c r="B45" s="22" t="n"/>
    </row>
    <row r="46">
      <c r="B46" s="22" t="n"/>
    </row>
    <row r="47">
      <c r="B47" s="22" t="n"/>
    </row>
    <row r="48">
      <c r="B48" s="22" t="n"/>
    </row>
    <row r="49">
      <c r="B49" s="22" t="n"/>
    </row>
    <row r="50">
      <c r="B50" s="22" t="n"/>
    </row>
    <row r="51">
      <c r="B51" s="22" t="n"/>
    </row>
    <row r="52">
      <c r="B52" s="22" t="n"/>
    </row>
    <row r="53">
      <c r="B53" s="22" t="n"/>
    </row>
    <row r="54">
      <c r="B54" s="22" t="n"/>
    </row>
    <row r="55">
      <c r="B55" s="22" t="n"/>
    </row>
    <row r="56">
      <c r="B56" s="22" t="n"/>
    </row>
    <row r="57">
      <c r="B57" s="22" t="n"/>
    </row>
    <row r="58">
      <c r="B58" s="22" t="n"/>
    </row>
    <row r="59">
      <c r="B59" s="22" t="n"/>
    </row>
    <row r="60">
      <c r="B60" s="22" t="n"/>
    </row>
    <row r="61">
      <c r="B61" s="22" t="n"/>
    </row>
    <row r="62">
      <c r="B62" s="22" t="n"/>
    </row>
    <row r="63">
      <c r="B63" s="22" t="n"/>
    </row>
    <row r="64">
      <c r="B64" s="22" t="n"/>
    </row>
    <row r="65">
      <c r="B65" s="22" t="n"/>
    </row>
    <row r="66">
      <c r="B66" s="22" t="n"/>
    </row>
    <row r="67">
      <c r="B67" s="22" t="n"/>
    </row>
    <row r="68">
      <c r="B68" s="22" t="n"/>
    </row>
    <row r="69">
      <c r="B69" s="22" t="n"/>
    </row>
    <row r="70">
      <c r="B70" s="22" t="n"/>
    </row>
    <row r="71">
      <c r="B71" s="22" t="n"/>
    </row>
    <row r="72">
      <c r="B72" s="22" t="n"/>
    </row>
    <row r="73">
      <c r="B73" s="22" t="n"/>
    </row>
    <row r="74">
      <c r="B74" s="22" t="n"/>
    </row>
    <row r="75">
      <c r="B75" s="22" t="n"/>
    </row>
    <row r="76">
      <c r="B76" s="22" t="n"/>
    </row>
    <row r="77">
      <c r="B77" s="22" t="n"/>
    </row>
  </sheetData>
  <mergeCells count="6">
    <mergeCell ref="A1:G1"/>
    <mergeCell ref="A3:G3"/>
    <mergeCell ref="A4:G4"/>
    <mergeCell ref="A2:G2"/>
    <mergeCell ref="A7:G7"/>
    <mergeCell ref="A5:G5"/>
  </mergeCells>
  <printOptions horizontalCentered="1" verticalCentered="0"/>
  <pageMargins left="0.1" right="0.1" top="0.75" bottom="0.75"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K50"/>
  <sheetViews>
    <sheetView showGridLines="1" showRowColHeaders="1" view="pageBreakPreview" workbookViewId="0">
      <selection activeCell="A1" sqref="A1"/>
    </sheetView>
  </sheetViews>
  <sheetFormatPr baseColWidth="8" defaultRowHeight="15"/>
  <cols>
    <col width="20.4" customWidth="1" min="1" max="1"/>
    <col width="13.75" customWidth="1" min="2" max="2"/>
    <col width="17" customWidth="1" min="3" max="3"/>
    <col width="18" customWidth="1" min="4" max="4"/>
    <col width="13" customWidth="1" min="5" max="5"/>
    <col width="16" customWidth="1" min="6" max="6"/>
    <col width="14.4" customWidth="1" min="7" max="7"/>
    <col width="13" customWidth="1" min="8" max="8"/>
    <col width="13" customWidth="1" min="9" max="9"/>
    <col width="11" customWidth="1" min="10" max="10"/>
    <col width="13.375" customWidth="1" min="11" max="11"/>
  </cols>
  <sheetData>
    <row r="1" ht="27.95" customHeight="1">
      <c r="A1" s="1" t="inlineStr">
        <is>
          <t>CALIFOR UPHOLSTERY MATERIALS CO., LTD.</t>
        </is>
      </c>
    </row>
    <row r="2" ht="26.25" customHeight="1">
      <c r="A2" s="3" t="inlineStr">
        <is>
          <t>XIN BAVET SEZ, Road No. 316A, Trapeang Bon and  Prey Kokir  Villages, Prey Kokir  Commune, Chantrea District,</t>
        </is>
      </c>
    </row>
    <row r="3" ht="16.5" customHeight="1">
      <c r="A3" s="5" t="inlineStr">
        <is>
          <t>Svay Rieng Province, Kingdom of Cambodia.</t>
        </is>
      </c>
    </row>
    <row r="4" ht="16.5" customHeight="1">
      <c r="A4" s="5" t="inlineStr">
        <is>
          <t>VAT:L001-901903209</t>
        </is>
      </c>
    </row>
    <row r="5" ht="16.5" customHeight="1">
      <c r="A5" s="3" t="inlineStr">
        <is>
          <t>Tel: +855   975910636</t>
        </is>
      </c>
    </row>
    <row r="6" ht="25.5" customHeight="1">
      <c r="A6" s="34" t="inlineStr">
        <is>
          <t>PACKING LIST</t>
        </is>
      </c>
      <c r="B6" s="35" t="n"/>
      <c r="C6" s="35" t="n"/>
      <c r="D6" s="35" t="n"/>
      <c r="E6" s="35" t="n"/>
      <c r="F6" s="35" t="n"/>
      <c r="G6" s="35" t="n"/>
      <c r="H6" s="35" t="n"/>
      <c r="I6" s="35" t="n"/>
      <c r="J6" s="35" t="n"/>
      <c r="K6" s="35" t="n"/>
    </row>
    <row r="7" ht="15" customHeight="1">
      <c r="A7" s="10" t="inlineStr">
        <is>
          <t>RefNo.:</t>
        </is>
      </c>
      <c r="B7" s="11">
        <f>'Detail packing list'!B7</f>
        <v/>
      </c>
      <c r="C7" s="36" t="n"/>
      <c r="D7" s="36" t="n"/>
      <c r="F7" s="36" t="n"/>
      <c r="G7" s="36" t="n"/>
      <c r="H7" s="36" t="n"/>
      <c r="I7" s="36" t="n"/>
      <c r="J7" s="36" t="n"/>
    </row>
    <row r="8">
      <c r="A8" s="10" t="inlineStr">
        <is>
          <t>Invoice No</t>
        </is>
      </c>
      <c r="B8" s="10">
        <f>'Detail packing list'!B8</f>
        <v/>
      </c>
      <c r="F8" s="20" t="n"/>
      <c r="G8" s="20" t="n"/>
      <c r="H8" s="20" t="n"/>
      <c r="I8" s="20" t="n"/>
      <c r="J8" s="20" t="n"/>
    </row>
    <row r="9" ht="17.1" customHeight="1">
      <c r="A9" s="10" t="inlineStr">
        <is>
          <t>Date</t>
        </is>
      </c>
      <c r="B9" s="37">
        <f>'Detail packing list'!B9</f>
        <v/>
      </c>
      <c r="F9" s="16" t="n"/>
      <c r="G9" s="20" t="n"/>
      <c r="H9" s="20" t="n"/>
      <c r="I9" s="20" t="n"/>
      <c r="J9" s="20" t="n"/>
    </row>
    <row r="10" ht="17.1" customHeight="1">
      <c r="A10" s="10" t="inlineStr">
        <is>
          <t>To</t>
        </is>
      </c>
      <c r="B10" s="18">
        <f>INVOICE!B11</f>
        <v/>
      </c>
      <c r="F10" s="2" t="n"/>
      <c r="G10" s="2" t="n"/>
      <c r="H10" s="2" t="n"/>
      <c r="I10" s="2" t="n"/>
      <c r="J10" s="2" t="n"/>
    </row>
    <row r="11" ht="17.1" customHeight="1">
      <c r="B11" s="18" t="inlineStr">
        <is>
          <t>Lot D_5A_CN, D_5C_CN, D_5E_CN, My Phuoc 3 Industrial Park,</t>
        </is>
      </c>
    </row>
    <row r="12" ht="17.1" customHeight="1">
      <c r="B12" s="18" t="inlineStr">
        <is>
          <t>Thoi Hoa Ward, Ho Chi Minh City, Vietnam.</t>
        </is>
      </c>
    </row>
    <row r="13" ht="17.1" customHeight="1">
      <c r="A13" s="19" t="inlineStr">
        <is>
          <t xml:space="preserve">From </t>
        </is>
      </c>
      <c r="B13" s="38" t="inlineStr">
        <is>
          <t>BAVET, SVAY RIENG, CAMBODIA</t>
        </is>
      </c>
    </row>
    <row r="14" ht="17.1" customHeight="1">
      <c r="A14" s="19" t="inlineStr">
        <is>
          <t xml:space="preserve">To </t>
        </is>
      </c>
      <c r="B14" s="18">
        <f>INVOICE!B15</f>
        <v/>
      </c>
    </row>
    <row r="15" ht="17.1" customHeight="1">
      <c r="A15" s="19" t="inlineStr">
        <is>
          <t>Payment Term:</t>
        </is>
      </c>
      <c r="B15" s="18" t="inlineStr">
        <is>
          <t>T/T 43 days B/L date</t>
        </is>
      </c>
    </row>
    <row r="16" ht="17.1" customHeight="1">
      <c r="A16" s="19" t="inlineStr">
        <is>
          <t>Origin of goods:</t>
        </is>
      </c>
      <c r="B16" s="18" t="inlineStr">
        <is>
          <t>CAMBODIA</t>
        </is>
      </c>
    </row>
    <row r="17" ht="17.1" customHeight="1">
      <c r="A17" s="10" t="inlineStr">
        <is>
          <t>Shipping term:</t>
        </is>
      </c>
      <c r="B17" s="18" t="inlineStr">
        <is>
          <t>DAP: HCM</t>
        </is>
      </c>
      <c r="F17" s="4" t="n"/>
      <c r="G17" s="4" t="n"/>
    </row>
    <row r="18" ht="17.1" customHeight="1">
      <c r="A18" s="20" t="n"/>
      <c r="B18" s="22" t="n"/>
    </row>
    <row r="19" ht="17.1" customHeight="1">
      <c r="A19" s="20" t="n"/>
      <c r="B19" s="39" t="n"/>
    </row>
    <row r="20" ht="51.75" customHeight="1">
      <c r="A20" s="40" t="inlineStr">
        <is>
          <t>PO number</t>
        </is>
      </c>
      <c r="B20" s="40" t="inlineStr">
        <is>
          <t>Item No.</t>
        </is>
      </c>
      <c r="C20" s="40" t="inlineStr">
        <is>
          <t>Description of Goods</t>
        </is>
      </c>
      <c r="D20" s="40" t="inlineStr">
        <is>
          <t>PALLET NO.#</t>
        </is>
      </c>
      <c r="E20" s="41" t="inlineStr">
        <is>
          <t>PCS</t>
        </is>
      </c>
      <c r="F20" s="42" t="inlineStr">
        <is>
          <t>Quantity (SF)</t>
        </is>
      </c>
      <c r="G20" s="42" t="inlineStr">
        <is>
          <t>Unit</t>
        </is>
      </c>
      <c r="H20" s="42" t="inlineStr">
        <is>
          <t>Net Weight (Kgs)</t>
        </is>
      </c>
      <c r="I20" s="43" t="inlineStr">
        <is>
          <t>Gross Weight (Kgs)</t>
        </is>
      </c>
      <c r="J20" s="42" t="inlineStr">
        <is>
          <t>Volume (CBM)</t>
        </is>
      </c>
      <c r="K20" s="40" t="inlineStr">
        <is>
          <t>Container number</t>
        </is>
      </c>
    </row>
    <row r="21" ht="31.5" customHeight="1">
      <c r="A21" s="25" t="inlineStr">
        <is>
          <t>PT2CK66</t>
        </is>
      </c>
      <c r="C21" s="25" t="n">
        <v>140478</v>
      </c>
      <c r="D21" s="25" t="inlineStr">
        <is>
          <t>1-12</t>
        </is>
      </c>
      <c r="E21" s="44" t="n">
        <v>234</v>
      </c>
      <c r="F21" s="26" t="n">
        <v>9089.700000000001</v>
      </c>
      <c r="G21" s="26" t="inlineStr">
        <is>
          <t>SF</t>
        </is>
      </c>
      <c r="H21" s="26" t="n">
        <v>631.5</v>
      </c>
      <c r="I21" s="45" t="n">
        <v>676.5</v>
      </c>
      <c r="J21" s="26" t="n">
        <v>2.178</v>
      </c>
      <c r="K21" s="25" t="n"/>
    </row>
    <row r="22" ht="31.5" customHeight="1">
      <c r="A22" s="25" t="inlineStr">
        <is>
          <t>PT2CK66</t>
        </is>
      </c>
      <c r="C22" s="25" t="n">
        <v>140478</v>
      </c>
      <c r="D22" s="46" t="n"/>
      <c r="E22" s="44" t="n">
        <v>290</v>
      </c>
      <c r="F22" s="26" t="n">
        <v>11343.8</v>
      </c>
      <c r="G22" s="26" t="inlineStr">
        <is>
          <t>SF</t>
        </is>
      </c>
      <c r="H22" s="26" t="n">
        <v>772.5</v>
      </c>
      <c r="I22" s="45" t="n">
        <v>817.5</v>
      </c>
      <c r="J22" s="26" t="n">
        <v>2.7324</v>
      </c>
      <c r="K22" s="25" t="n"/>
    </row>
    <row r="23" ht="31.5" customHeight="1">
      <c r="A23" s="25" t="inlineStr">
        <is>
          <t>PT2CK66</t>
        </is>
      </c>
      <c r="C23" s="25" t="n">
        <v>140478</v>
      </c>
      <c r="D23" s="25" t="inlineStr">
        <is>
          <t>3-12</t>
        </is>
      </c>
      <c r="E23" s="44" t="n">
        <v>265</v>
      </c>
      <c r="F23" s="26" t="n">
        <v>10322.2</v>
      </c>
      <c r="G23" s="26" t="inlineStr">
        <is>
          <t>SF</t>
        </is>
      </c>
      <c r="H23" s="26" t="n">
        <v>711</v>
      </c>
      <c r="I23" s="45" t="n">
        <v>756</v>
      </c>
      <c r="J23" s="26" t="n">
        <v>2.6136</v>
      </c>
      <c r="K23" s="25" t="n"/>
    </row>
    <row r="24" ht="31.5" customHeight="1">
      <c r="A24" s="25" t="inlineStr">
        <is>
          <t>PT2CK66</t>
        </is>
      </c>
      <c r="C24" s="25" t="n">
        <v>140478</v>
      </c>
      <c r="D24" s="25" t="inlineStr">
        <is>
          <t>4-12</t>
        </is>
      </c>
      <c r="E24" s="44" t="n">
        <v>265</v>
      </c>
      <c r="F24" s="26" t="n">
        <v>10201.4</v>
      </c>
      <c r="G24" s="26" t="inlineStr">
        <is>
          <t>SF</t>
        </is>
      </c>
      <c r="H24" s="26" t="n">
        <v>692.5</v>
      </c>
      <c r="I24" s="45" t="n">
        <v>737.5</v>
      </c>
      <c r="J24" s="26" t="n">
        <v>2.4552</v>
      </c>
      <c r="K24" s="25" t="n"/>
    </row>
    <row r="25" ht="31.5" customHeight="1">
      <c r="A25" s="25" t="inlineStr">
        <is>
          <t>PT2CK66</t>
        </is>
      </c>
      <c r="C25" s="25" t="n">
        <v>140478</v>
      </c>
      <c r="D25" s="46" t="n"/>
      <c r="E25" s="44" t="n">
        <v>175</v>
      </c>
      <c r="F25" s="26" t="n">
        <v>6884.8</v>
      </c>
      <c r="G25" s="26" t="inlineStr">
        <is>
          <t>SF</t>
        </is>
      </c>
      <c r="H25" s="26" t="n">
        <v>461.5</v>
      </c>
      <c r="I25" s="45" t="n">
        <v>506.5</v>
      </c>
      <c r="J25" s="26" t="n">
        <v>2.0592</v>
      </c>
      <c r="K25" s="25" t="n"/>
    </row>
    <row r="26" ht="31.5" customHeight="1">
      <c r="A26" s="25" t="inlineStr">
        <is>
          <t>PT2CK66</t>
        </is>
      </c>
      <c r="C26" s="25" t="n">
        <v>140478</v>
      </c>
      <c r="D26" s="25" t="inlineStr">
        <is>
          <t>6-12</t>
        </is>
      </c>
      <c r="E26" s="44" t="n">
        <v>254</v>
      </c>
      <c r="F26" s="26" t="n">
        <v>9850.200000000001</v>
      </c>
      <c r="G26" s="26" t="inlineStr">
        <is>
          <t>SF</t>
        </is>
      </c>
      <c r="H26" s="26" t="n">
        <v>642.0556</v>
      </c>
      <c r="I26" s="45" t="n">
        <v>684.3889</v>
      </c>
      <c r="J26" s="26" t="n">
        <v>2.2352</v>
      </c>
      <c r="K26" s="25" t="n"/>
    </row>
    <row r="27" ht="31.5" customHeight="1">
      <c r="A27" s="25" t="inlineStr">
        <is>
          <t>PT2CK66</t>
        </is>
      </c>
      <c r="C27" s="25" t="n">
        <v>140478</v>
      </c>
      <c r="D27" s="47" t="n"/>
      <c r="E27" s="44" t="n">
        <v>2</v>
      </c>
      <c r="F27" s="26" t="n">
        <v>76</v>
      </c>
      <c r="G27" s="26" t="inlineStr">
        <is>
          <t>SF</t>
        </is>
      </c>
      <c r="H27" s="26" t="n">
        <v>5.0556</v>
      </c>
      <c r="I27" s="45" t="n">
        <v>5.3889</v>
      </c>
      <c r="J27" s="26" t="n">
        <v>0.0176</v>
      </c>
      <c r="K27" s="25" t="n"/>
    </row>
    <row r="28" ht="31.5" customHeight="1">
      <c r="A28" s="25" t="inlineStr">
        <is>
          <t>PT2CK66</t>
        </is>
      </c>
      <c r="C28" s="25" t="n">
        <v>140478</v>
      </c>
      <c r="D28" s="47" t="n"/>
      <c r="E28" s="44" t="n">
        <v>14</v>
      </c>
      <c r="F28" s="26" t="n">
        <v>543</v>
      </c>
      <c r="G28" s="26" t="inlineStr">
        <is>
          <t>SF</t>
        </is>
      </c>
      <c r="H28" s="26" t="n">
        <v>35.3888</v>
      </c>
      <c r="I28" s="45" t="n">
        <v>37.7222</v>
      </c>
      <c r="J28" s="26" t="n">
        <v>0.1232</v>
      </c>
      <c r="K28" s="25" t="n"/>
    </row>
    <row r="29" ht="31.5" customHeight="1">
      <c r="A29" s="25" t="inlineStr">
        <is>
          <t>PT2CK68</t>
        </is>
      </c>
      <c r="C29" s="25" t="n">
        <v>140478</v>
      </c>
      <c r="D29" s="46" t="n"/>
      <c r="E29" s="44" t="n">
        <v>280</v>
      </c>
      <c r="F29" s="26" t="n">
        <v>10978.2</v>
      </c>
      <c r="G29" s="26" t="inlineStr">
        <is>
          <t>SF</t>
        </is>
      </c>
      <c r="H29" s="26" t="n">
        <v>748.5</v>
      </c>
      <c r="I29" s="45" t="n">
        <v>793.5</v>
      </c>
      <c r="J29" s="26" t="n">
        <v>2.4948</v>
      </c>
      <c r="K29" s="25" t="n"/>
    </row>
    <row r="30" ht="31.5" customHeight="1">
      <c r="A30" s="25" t="inlineStr">
        <is>
          <t>PT2CK68</t>
        </is>
      </c>
      <c r="C30" s="25" t="n">
        <v>140478</v>
      </c>
      <c r="D30" s="25" t="inlineStr">
        <is>
          <t>8-12</t>
        </is>
      </c>
      <c r="E30" s="44" t="n">
        <v>270</v>
      </c>
      <c r="F30" s="26" t="n">
        <v>10443.4</v>
      </c>
      <c r="G30" s="26" t="inlineStr">
        <is>
          <t>SF</t>
        </is>
      </c>
      <c r="H30" s="26" t="n">
        <v>714</v>
      </c>
      <c r="I30" s="45" t="n">
        <v>759</v>
      </c>
      <c r="J30" s="26" t="n">
        <v>2.6136</v>
      </c>
      <c r="K30" s="25" t="n"/>
    </row>
    <row r="31" ht="31.5" customHeight="1">
      <c r="A31" s="25" t="inlineStr">
        <is>
          <t>PT2CK68</t>
        </is>
      </c>
      <c r="C31" s="25" t="n">
        <v>140478</v>
      </c>
      <c r="D31" s="25" t="inlineStr">
        <is>
          <t>9-12</t>
        </is>
      </c>
      <c r="E31" s="44" t="n">
        <v>235</v>
      </c>
      <c r="F31" s="26" t="n">
        <v>9190.299999999999</v>
      </c>
      <c r="G31" s="26" t="inlineStr">
        <is>
          <t>SF</t>
        </is>
      </c>
      <c r="H31" s="26" t="n">
        <v>631.5</v>
      </c>
      <c r="I31" s="45" t="n">
        <v>676.5</v>
      </c>
      <c r="J31" s="26" t="n">
        <v>2.2968</v>
      </c>
      <c r="K31" s="25" t="n"/>
    </row>
    <row r="32" ht="31.5" customHeight="1">
      <c r="A32" s="25" t="inlineStr">
        <is>
          <t>PT2CT53</t>
        </is>
      </c>
      <c r="C32" s="25" t="n">
        <v>140478</v>
      </c>
      <c r="D32" s="25" t="inlineStr">
        <is>
          <t>10-12</t>
        </is>
      </c>
      <c r="E32" s="44" t="n">
        <v>290</v>
      </c>
      <c r="F32" s="26" t="n">
        <v>10603.4</v>
      </c>
      <c r="G32" s="26" t="inlineStr">
        <is>
          <t>SF</t>
        </is>
      </c>
      <c r="H32" s="26" t="n">
        <v>732</v>
      </c>
      <c r="I32" s="45" t="n">
        <v>777</v>
      </c>
      <c r="J32" s="26" t="n">
        <v>2.574</v>
      </c>
      <c r="K32" s="25" t="n"/>
    </row>
    <row r="33" ht="31.5" customHeight="1">
      <c r="A33" s="25" t="inlineStr">
        <is>
          <t>PT2CT53</t>
        </is>
      </c>
      <c r="C33" s="25" t="n">
        <v>140478</v>
      </c>
      <c r="D33" s="25" t="inlineStr">
        <is>
          <t>11-12</t>
        </is>
      </c>
      <c r="E33" s="44" t="n">
        <v>290</v>
      </c>
      <c r="F33" s="26" t="n">
        <v>10849.5</v>
      </c>
      <c r="G33" s="26" t="inlineStr">
        <is>
          <t>SF</t>
        </is>
      </c>
      <c r="H33" s="26" t="n">
        <v>746.5</v>
      </c>
      <c r="I33" s="45" t="n">
        <v>791.5</v>
      </c>
      <c r="J33" s="26" t="n">
        <v>2.5344</v>
      </c>
      <c r="K33" s="25" t="n"/>
    </row>
    <row r="34" ht="31.5" customHeight="1">
      <c r="A34" s="25" t="inlineStr">
        <is>
          <t>PT2CT53</t>
        </is>
      </c>
      <c r="C34" s="25" t="n">
        <v>140478</v>
      </c>
      <c r="D34" s="25" t="inlineStr">
        <is>
          <t>12-12</t>
        </is>
      </c>
      <c r="E34" s="44" t="n">
        <v>235</v>
      </c>
      <c r="F34" s="26" t="n">
        <v>8972.700000000001</v>
      </c>
      <c r="G34" s="26" t="inlineStr">
        <is>
          <t>SF</t>
        </is>
      </c>
      <c r="H34" s="26" t="n">
        <v>616.5</v>
      </c>
      <c r="I34" s="45" t="n">
        <v>661.5</v>
      </c>
      <c r="J34" s="26" t="n">
        <v>2.5344</v>
      </c>
      <c r="K34" s="25" t="n"/>
    </row>
    <row r="35" ht="51.75" customHeight="1">
      <c r="A35" s="40" t="inlineStr">
        <is>
          <t>PT2CB01</t>
        </is>
      </c>
      <c r="C35" s="40" t="inlineStr">
        <is>
          <t>TOTAL：</t>
        </is>
      </c>
      <c r="D35" s="40" t="inlineStr">
        <is>
          <t>10-21</t>
        </is>
      </c>
      <c r="E35" s="41">
        <f>SUM(E21:E34)</f>
        <v/>
      </c>
      <c r="F35" s="42">
        <f>SUM(F21:F34)</f>
        <v/>
      </c>
      <c r="G35" s="42" t="inlineStr">
        <is>
          <t>SF</t>
        </is>
      </c>
      <c r="H35" s="42">
        <f>SUM(H21:H34)</f>
        <v/>
      </c>
      <c r="I35" s="43">
        <f>SUM(I21:I34)</f>
        <v/>
      </c>
      <c r="J35" s="42">
        <f>SUM(J21:J34)</f>
        <v/>
      </c>
      <c r="K35" s="40" t="n"/>
    </row>
    <row r="36" ht="51.75" customHeight="1">
      <c r="A36" s="40" t="inlineStr">
        <is>
          <t>PT2CB01</t>
        </is>
      </c>
      <c r="C36" s="40" t="inlineStr">
        <is>
          <t>TOTAL：</t>
        </is>
      </c>
      <c r="D36" s="40" t="inlineStr">
        <is>
          <t>11-21</t>
        </is>
      </c>
      <c r="E36" s="41">
        <f>SUM(E21:E49,E21:E34)</f>
        <v/>
      </c>
      <c r="F36" s="42">
        <f>SUM(F21:F49,F21:F34)</f>
        <v/>
      </c>
      <c r="G36" s="42" t="inlineStr">
        <is>
          <t>SF</t>
        </is>
      </c>
      <c r="H36" s="42">
        <f>SUM(H21:H49,H21:H34)</f>
        <v/>
      </c>
      <c r="I36" s="43">
        <f>SUM(I21:I49,I21:I34)</f>
        <v/>
      </c>
      <c r="J36" s="42">
        <f>SUM(J21:J49,J21:J34)</f>
        <v/>
      </c>
      <c r="K36" s="40" t="n"/>
    </row>
    <row r="37" ht="22.5" customHeight="1">
      <c r="A37" s="48" t="inlineStr">
        <is>
          <t>PT2CB01</t>
        </is>
      </c>
      <c r="B37" s="49" t="n"/>
      <c r="C37" s="50" t="n">
        <v>140478</v>
      </c>
      <c r="D37" s="50" t="inlineStr">
        <is>
          <t>12-21</t>
        </is>
      </c>
      <c r="E37" s="50" t="n">
        <v>270</v>
      </c>
      <c r="F37" s="51" t="n">
        <v>10130.5</v>
      </c>
      <c r="G37" s="52" t="inlineStr">
        <is>
          <t>SF</t>
        </is>
      </c>
      <c r="H37" s="52" t="n">
        <v>675.5</v>
      </c>
      <c r="I37" s="52" t="n">
        <v>720.5</v>
      </c>
      <c r="J37" s="52" t="n">
        <v>2.6532</v>
      </c>
      <c r="K37" s="48" t="n"/>
    </row>
    <row r="38" ht="12.75" customHeight="1">
      <c r="A38" s="53" t="inlineStr">
        <is>
          <t xml:space="preserve">Says total : </t>
        </is>
      </c>
      <c r="B38" s="49" t="n"/>
      <c r="C38" s="54" t="n">
        <v>140478</v>
      </c>
      <c r="D38" s="55" t="n"/>
      <c r="E38" s="55" t="n"/>
      <c r="F38" s="49" t="n"/>
      <c r="G38" s="51" t="inlineStr">
        <is>
          <t>SF</t>
        </is>
      </c>
      <c r="H38" s="56" t="n">
        <v>717.3913</v>
      </c>
      <c r="I38" s="56" t="n">
        <v>760.4348</v>
      </c>
      <c r="J38" s="50" t="n">
        <v>2.5378</v>
      </c>
      <c r="K38" s="50" t="n"/>
    </row>
    <row r="39" ht="31.5" customHeight="1">
      <c r="A39" s="57" t="inlineStr">
        <is>
          <t xml:space="preserve">Total Net Weight: </t>
        </is>
      </c>
      <c r="B39" s="49" t="n"/>
      <c r="C39" s="58">
        <f>H28</f>
        <v/>
      </c>
      <c r="D39" s="55" t="n"/>
      <c r="E39" s="55" t="n"/>
      <c r="F39" s="49" t="n"/>
      <c r="G39" s="51" t="inlineStr">
        <is>
          <t>SF</t>
        </is>
      </c>
      <c r="H39" s="56" t="n">
        <v>32.6087</v>
      </c>
      <c r="I39" s="56" t="n">
        <v>34.5652</v>
      </c>
      <c r="J39" s="50" t="n">
        <v>0.1154</v>
      </c>
      <c r="K39" s="50" t="n"/>
    </row>
    <row r="40" ht="31.5" customHeight="1">
      <c r="A40" s="57" t="inlineStr">
        <is>
          <t>Total G. Weight:</t>
        </is>
      </c>
      <c r="B40" s="49" t="n"/>
      <c r="C40" s="58">
        <f>I28</f>
        <v/>
      </c>
      <c r="D40" s="59" t="inlineStr">
        <is>
          <t>14-21</t>
        </is>
      </c>
      <c r="E40" s="48" t="n">
        <v>250</v>
      </c>
      <c r="F40" s="48" t="n">
        <v>9481.5</v>
      </c>
      <c r="G40" s="51" t="inlineStr">
        <is>
          <t>SF</t>
        </is>
      </c>
      <c r="H40" s="56" t="n">
        <v>644.1964</v>
      </c>
      <c r="I40" s="56" t="n">
        <v>684.375</v>
      </c>
      <c r="J40" s="50" t="n">
        <v>2.2982</v>
      </c>
      <c r="K40" s="50" t="n"/>
    </row>
    <row r="41" ht="31.5" customHeight="1">
      <c r="A41" s="59" t="inlineStr">
        <is>
          <t>PT2CB13</t>
        </is>
      </c>
      <c r="C41" s="60" t="n">
        <v>140478</v>
      </c>
      <c r="D41" s="61" t="n"/>
      <c r="E41" s="48" t="n">
        <v>30</v>
      </c>
      <c r="F41" s="60" t="n">
        <v>1067.6</v>
      </c>
      <c r="G41" s="51" t="inlineStr">
        <is>
          <t>SF</t>
        </is>
      </c>
      <c r="H41" s="56" t="n">
        <v>77.3036</v>
      </c>
      <c r="I41" s="56" t="n">
        <v>82.125</v>
      </c>
      <c r="J41" s="50" t="n">
        <v>0.2758</v>
      </c>
      <c r="K41" s="50" t="n"/>
    </row>
    <row r="42" ht="31.5" customHeight="1">
      <c r="A42" s="62" t="inlineStr">
        <is>
          <t>Warning information</t>
        </is>
      </c>
      <c r="B42" s="4" t="n"/>
      <c r="C42" s="60" t="n">
        <v>140478</v>
      </c>
      <c r="D42" s="60" t="inlineStr">
        <is>
          <t>15-21</t>
        </is>
      </c>
      <c r="E42" s="48" t="n">
        <v>280</v>
      </c>
      <c r="F42" s="60" t="n">
        <v>10549.6</v>
      </c>
      <c r="G42" s="63" t="inlineStr">
        <is>
          <t>SF</t>
        </is>
      </c>
      <c r="H42" s="63" t="n">
        <v>719.5</v>
      </c>
      <c r="I42" s="63" t="n">
        <v>764.5</v>
      </c>
      <c r="J42" s="59" t="n">
        <v>2.6532</v>
      </c>
      <c r="K42" s="63" t="n"/>
    </row>
    <row r="43" ht="31.5" customHeight="1">
      <c r="A43" s="64" t="inlineStr">
        <is>
          <t>PT2CB13</t>
        </is>
      </c>
      <c r="B43" s="4" t="n"/>
      <c r="C43" s="60" t="n">
        <v>140478</v>
      </c>
      <c r="D43" s="60" t="inlineStr">
        <is>
          <t>16-21</t>
        </is>
      </c>
      <c r="E43" s="48" t="n">
        <v>290</v>
      </c>
      <c r="F43" s="60" t="n">
        <v>10810.8</v>
      </c>
      <c r="G43" s="63" t="inlineStr">
        <is>
          <t>SF</t>
        </is>
      </c>
      <c r="H43" s="63" t="n">
        <v>754.5</v>
      </c>
      <c r="I43" s="63" t="n">
        <v>799.5</v>
      </c>
      <c r="J43" s="59" t="n">
        <v>2.574</v>
      </c>
      <c r="K43" s="63" t="n"/>
    </row>
    <row r="44" ht="31.5" customHeight="1">
      <c r="A44" s="64" t="inlineStr">
        <is>
          <t>PT2CB13</t>
        </is>
      </c>
      <c r="B44" s="4" t="n"/>
      <c r="C44" s="60" t="n">
        <v>140478</v>
      </c>
      <c r="D44" s="60" t="inlineStr">
        <is>
          <t>17-21</t>
        </is>
      </c>
      <c r="E44" s="48" t="n">
        <v>280</v>
      </c>
      <c r="F44" s="60" t="n">
        <v>10689.2</v>
      </c>
      <c r="G44" s="63" t="inlineStr">
        <is>
          <t>SF</t>
        </is>
      </c>
      <c r="H44" s="63" t="n">
        <v>713</v>
      </c>
      <c r="I44" s="63" t="n">
        <v>758</v>
      </c>
      <c r="J44" s="59" t="n">
        <v>2.574</v>
      </c>
      <c r="K44" s="63" t="n"/>
    </row>
    <row r="45" ht="20.25" customHeight="1">
      <c r="A45" s="63" t="inlineStr">
        <is>
          <t>PT2CB13</t>
        </is>
      </c>
      <c r="B45" s="55" t="n"/>
      <c r="C45" s="55" t="n"/>
      <c r="D45" s="55" t="n"/>
      <c r="E45" s="55" t="n"/>
      <c r="F45" s="55" t="n"/>
      <c r="G45" s="55" t="n"/>
      <c r="H45" s="55" t="n"/>
      <c r="I45" s="55" t="n"/>
      <c r="J45" s="55" t="n"/>
      <c r="K45" s="49" t="n"/>
    </row>
    <row r="46" ht="31.5" customHeight="1">
      <c r="A46" s="65">
        <f>A1</f>
        <v/>
      </c>
      <c r="C46" s="48" t="n">
        <v>140519</v>
      </c>
      <c r="D46" s="48" t="inlineStr">
        <is>
          <t>19-21</t>
        </is>
      </c>
      <c r="E46" s="48" t="n">
        <v>280</v>
      </c>
      <c r="F46" s="48" t="n">
        <v>10102.1</v>
      </c>
      <c r="G46" s="48" t="inlineStr">
        <is>
          <t>SF</t>
        </is>
      </c>
      <c r="H46" s="48" t="n">
        <v>730.5</v>
      </c>
      <c r="I46" s="48" t="n">
        <v>775.5</v>
      </c>
      <c r="J46" s="48" t="n">
        <v>2.574</v>
      </c>
      <c r="K46" s="48" t="n"/>
    </row>
    <row r="47" ht="31.5" customHeight="1">
      <c r="A47" s="25" t="inlineStr">
        <is>
          <t>PT2CB07</t>
        </is>
      </c>
      <c r="C47" s="25" t="n">
        <v>140519</v>
      </c>
      <c r="D47" s="25" t="inlineStr">
        <is>
          <t>20-21</t>
        </is>
      </c>
      <c r="E47" s="44" t="n">
        <v>280</v>
      </c>
      <c r="F47" s="26" t="n">
        <v>10090.5</v>
      </c>
      <c r="G47" s="26" t="inlineStr">
        <is>
          <t>SF</t>
        </is>
      </c>
      <c r="H47" s="26" t="n">
        <v>737.5</v>
      </c>
      <c r="I47" s="45" t="n">
        <v>782.5</v>
      </c>
      <c r="J47" s="26" t="n">
        <v>2.3364</v>
      </c>
      <c r="K47" s="25" t="n"/>
    </row>
    <row r="48" ht="31.5" customHeight="1">
      <c r="A48" s="25" t="inlineStr">
        <is>
          <t>PT2CB07</t>
        </is>
      </c>
      <c r="C48" s="25" t="n">
        <v>140519</v>
      </c>
      <c r="D48" s="66" t="inlineStr">
        <is>
          <t>21-21</t>
        </is>
      </c>
      <c r="E48" s="44" t="n">
        <v>249</v>
      </c>
      <c r="F48" s="26" t="n">
        <v>8982.9</v>
      </c>
      <c r="G48" s="26" t="inlineStr">
        <is>
          <t>SF</t>
        </is>
      </c>
      <c r="H48" s="26" t="n">
        <v>650.9834</v>
      </c>
      <c r="I48" s="45" t="n">
        <v>692.3303</v>
      </c>
      <c r="J48" s="26" t="n">
        <v>1.9648</v>
      </c>
      <c r="K48" s="25" t="n"/>
    </row>
    <row r="49" ht="31.5" customHeight="1">
      <c r="A49" s="25" t="inlineStr">
        <is>
          <t>PT2CB07</t>
        </is>
      </c>
      <c r="C49" s="25" t="n">
        <v>140519</v>
      </c>
      <c r="D49" s="46" t="n"/>
      <c r="E49" s="44" t="n">
        <v>22</v>
      </c>
      <c r="F49" s="26" t="n">
        <v>764</v>
      </c>
      <c r="G49" s="26" t="inlineStr">
        <is>
          <t>SF</t>
        </is>
      </c>
      <c r="H49" s="26" t="n">
        <v>57.5166</v>
      </c>
      <c r="I49" s="45" t="n">
        <v>61.1697</v>
      </c>
      <c r="J49" s="26" t="n">
        <v>0.1736</v>
      </c>
      <c r="K49" s="25" t="n"/>
    </row>
    <row r="50" ht="51.75" customHeight="1">
      <c r="A50" s="40" t="n"/>
      <c r="C50" s="40" t="inlineStr">
        <is>
          <t>TOTAL：</t>
        </is>
      </c>
      <c r="D50" s="40" t="n"/>
      <c r="E50" s="41">
        <f>SUM(E21:E49)</f>
        <v/>
      </c>
      <c r="F50" s="42">
        <f>SUM(F21:F49)</f>
        <v/>
      </c>
      <c r="G50" s="42" t="n"/>
      <c r="H50" s="42">
        <f>SUM(H21:H49)</f>
        <v/>
      </c>
      <c r="I50" s="43">
        <f>SUM(I21:I49)</f>
        <v/>
      </c>
      <c r="J50" s="42">
        <f>SUM(J21:J49)</f>
        <v/>
      </c>
      <c r="K50" s="40" t="n"/>
    </row>
  </sheetData>
  <mergeCells count="19">
    <mergeCell ref="C39:F39"/>
    <mergeCell ref="D21:D22"/>
    <mergeCell ref="C38:F38"/>
    <mergeCell ref="A45:K45"/>
    <mergeCell ref="A1:K1"/>
    <mergeCell ref="A6:K6"/>
    <mergeCell ref="D48:D49"/>
    <mergeCell ref="A37:B37"/>
    <mergeCell ref="D24:D25"/>
    <mergeCell ref="A3:K3"/>
    <mergeCell ref="A2:K2"/>
    <mergeCell ref="A5:K5"/>
    <mergeCell ref="A38:B38"/>
    <mergeCell ref="A4:K4"/>
    <mergeCell ref="D38:D39"/>
    <mergeCell ref="D26:D29"/>
    <mergeCell ref="A40:B40"/>
    <mergeCell ref="A39:B39"/>
    <mergeCell ref="D40:D41"/>
  </mergeCells>
  <printOptions horizontalCentered="1" verticalCentered="0"/>
  <pageMargins left="0.1" right="0.1" top="0.75" bottom="0.75"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M50"/>
  <sheetViews>
    <sheetView showGridLines="1" showRowColHeaders="1" view="pageBreakPreview" workbookViewId="0">
      <selection activeCell="A1" sqref="A1"/>
    </sheetView>
  </sheetViews>
  <sheetFormatPr baseColWidth="8" defaultRowHeight="15"/>
  <cols>
    <col width="20.4" customWidth="1" min="1" max="1"/>
    <col width="14.75" customWidth="1" min="2" max="2"/>
    <col width="17" customWidth="1" min="3" max="3"/>
    <col width="18" customWidth="1" min="4" max="4"/>
    <col width="13" customWidth="1" min="5" max="5"/>
    <col width="16" customWidth="1" min="6" max="6"/>
    <col width="14.4" customWidth="1" min="7" max="7"/>
    <col width="13" customWidth="1" min="8" max="8"/>
    <col width="13" customWidth="1" min="9" max="9"/>
    <col width="11" customWidth="1" min="10" max="10"/>
    <col width="14" customWidth="1" min="11" max="11"/>
    <col width="17.875" customWidth="1" min="12" max="12"/>
    <col width="9" customWidth="1" min="13" max="13"/>
  </cols>
  <sheetData>
    <row r="1" ht="27.95" customHeight="1">
      <c r="A1" s="1" t="inlineStr">
        <is>
          <t>CALIFOR UPHOLSTERY MATERIALS CO., LTD.</t>
        </is>
      </c>
    </row>
    <row r="2" ht="26.25" customHeight="1">
      <c r="A2" s="3" t="inlineStr">
        <is>
          <t>XIN BAVET SEZ, Road No. 316A, Trapeang Bon and  Prey Kokir  Villages, Prey Kokir  Commune, Chantrea District,</t>
        </is>
      </c>
    </row>
    <row r="3" ht="16.5" customHeight="1">
      <c r="A3" s="5" t="inlineStr">
        <is>
          <t>Svay Rieng Province, Kingdom of Cambodia.</t>
        </is>
      </c>
    </row>
    <row r="4" ht="16.5" customHeight="1">
      <c r="A4" s="5" t="inlineStr">
        <is>
          <t>VAT:L001-901903209</t>
        </is>
      </c>
    </row>
    <row r="5" ht="16.5" customHeight="1">
      <c r="A5" s="3" t="inlineStr">
        <is>
          <t>Tel: +855   975910636</t>
        </is>
      </c>
    </row>
    <row r="6" ht="25.5" customHeight="1">
      <c r="A6" s="34" t="inlineStr">
        <is>
          <t>DETAIL PACKING LIST</t>
        </is>
      </c>
      <c r="B6" s="35" t="n"/>
      <c r="C6" s="35" t="n"/>
      <c r="D6" s="35" t="n"/>
      <c r="E6" s="35" t="n"/>
      <c r="F6" s="35" t="n"/>
      <c r="G6" s="35" t="n"/>
      <c r="H6" s="35" t="n"/>
      <c r="I6" s="35" t="n"/>
      <c r="J6" s="35" t="n"/>
      <c r="K6" s="35" t="n"/>
      <c r="L6" s="35" t="n"/>
    </row>
    <row r="7" ht="15" customHeight="1">
      <c r="A7" s="10" t="inlineStr">
        <is>
          <t>RefNo.:</t>
        </is>
      </c>
      <c r="B7" s="11" t="inlineStr">
        <is>
          <t>CLF2026-011</t>
        </is>
      </c>
      <c r="C7" s="36" t="n"/>
      <c r="D7" s="36" t="n"/>
      <c r="F7" s="36" t="n"/>
      <c r="G7" s="36" t="n"/>
      <c r="H7" s="36" t="n"/>
      <c r="I7" s="36" t="n"/>
      <c r="J7" s="36" t="n"/>
    </row>
    <row r="8" ht="15.75" customHeight="1">
      <c r="A8" s="10" t="inlineStr">
        <is>
          <t>Invoice No</t>
        </is>
      </c>
      <c r="B8" s="12" t="inlineStr">
        <is>
          <t>CLW26003</t>
        </is>
      </c>
      <c r="F8" s="20" t="n"/>
      <c r="G8" s="20" t="n"/>
      <c r="H8" s="20" t="n"/>
      <c r="I8" s="20" t="n"/>
      <c r="J8" s="20" t="n"/>
    </row>
    <row r="9" ht="17.1" customHeight="1">
      <c r="A9" s="10" t="inlineStr">
        <is>
          <t>Date</t>
        </is>
      </c>
      <c r="B9" s="15" t="inlineStr">
        <is>
          <t>2026-01-08 00:00:00</t>
        </is>
      </c>
      <c r="F9" s="16" t="n"/>
      <c r="G9" s="20" t="n"/>
      <c r="H9" s="20" t="n"/>
      <c r="I9" s="20" t="n"/>
      <c r="J9" s="20" t="n"/>
    </row>
    <row r="10" ht="17.1" customHeight="1">
      <c r="A10" s="10" t="inlineStr">
        <is>
          <t>To</t>
        </is>
      </c>
      <c r="B10" s="18">
        <f>INVOICE!B11</f>
        <v/>
      </c>
      <c r="F10" s="2" t="n"/>
      <c r="G10" s="2" t="n"/>
      <c r="H10" s="2" t="n"/>
      <c r="I10" s="2" t="n"/>
      <c r="J10" s="2" t="n"/>
    </row>
    <row r="11" ht="17.1" customHeight="1">
      <c r="B11" s="18" t="inlineStr">
        <is>
          <t xml:space="preserve"> Lot D_5A_CN, D_5C_CN, D_5E_CN, My Phuoc 3 Industrial Park,</t>
        </is>
      </c>
    </row>
    <row r="12" ht="17.1" customHeight="1">
      <c r="B12" s="18" t="inlineStr">
        <is>
          <t>Thoi Hoa Ward, Ho Chi Minh City, Vietnam.</t>
        </is>
      </c>
    </row>
    <row r="13" ht="17.1" customHeight="1">
      <c r="A13" s="19" t="inlineStr">
        <is>
          <t xml:space="preserve">From </t>
        </is>
      </c>
      <c r="B13" s="38" t="inlineStr">
        <is>
          <t>BAVET, SVAY RIENG, CAMBODIA</t>
        </is>
      </c>
    </row>
    <row r="14" ht="17.1" customHeight="1">
      <c r="A14" s="19" t="inlineStr">
        <is>
          <t xml:space="preserve">To </t>
        </is>
      </c>
      <c r="B14" s="18">
        <f>INVOICE!B15</f>
        <v/>
      </c>
    </row>
    <row r="15" ht="17.1" customHeight="1">
      <c r="A15" s="19" t="inlineStr">
        <is>
          <t>Payment Term:</t>
        </is>
      </c>
      <c r="B15" s="18" t="inlineStr">
        <is>
          <t>T/T 43 days B/L date</t>
        </is>
      </c>
    </row>
    <row r="16" ht="17.1" customHeight="1">
      <c r="A16" s="19" t="inlineStr">
        <is>
          <t>Origin of goods:</t>
        </is>
      </c>
      <c r="B16" s="18" t="inlineStr">
        <is>
          <t>CAMBODIA</t>
        </is>
      </c>
    </row>
    <row r="17" ht="17.1" customHeight="1">
      <c r="A17" s="10" t="inlineStr">
        <is>
          <t>Shipping term:</t>
        </is>
      </c>
      <c r="B17" s="18" t="inlineStr">
        <is>
          <t>DAP: HCM</t>
        </is>
      </c>
      <c r="F17" s="4" t="n"/>
      <c r="G17" s="4" t="n"/>
    </row>
    <row r="18" ht="17.1" customHeight="1">
      <c r="A18" s="20" t="n"/>
      <c r="B18" s="22" t="n"/>
    </row>
    <row r="19" ht="17.1" customHeight="1">
      <c r="A19" s="20" t="n"/>
      <c r="B19" s="39" t="n"/>
    </row>
    <row r="20" ht="51.75" customHeight="1">
      <c r="A20" s="40" t="inlineStr">
        <is>
          <t>PO number</t>
        </is>
      </c>
      <c r="B20" s="40" t="inlineStr">
        <is>
          <t>Item No.</t>
        </is>
      </c>
      <c r="C20" s="40" t="inlineStr">
        <is>
          <t>Description of Goods</t>
        </is>
      </c>
      <c r="D20" s="40" t="inlineStr">
        <is>
          <t>PALLET NO.#</t>
        </is>
      </c>
      <c r="E20" s="41" t="inlineStr">
        <is>
          <t>PCS</t>
        </is>
      </c>
      <c r="F20" s="42" t="inlineStr">
        <is>
          <t>Quantity (SF)</t>
        </is>
      </c>
      <c r="G20" s="42" t="inlineStr">
        <is>
          <t>Unit</t>
        </is>
      </c>
      <c r="H20" s="42" t="inlineStr">
        <is>
          <t>Net Weight (Kgs)</t>
        </is>
      </c>
      <c r="I20" s="42" t="inlineStr">
        <is>
          <t>Gross Weight (Kgs)</t>
        </is>
      </c>
      <c r="J20" s="42" t="inlineStr">
        <is>
          <t>Volume (CBM)</t>
        </is>
      </c>
      <c r="K20" s="40" t="inlineStr">
        <is>
          <t>Container number</t>
        </is>
      </c>
      <c r="L20" s="40" t="inlineStr">
        <is>
          <t>Remark</t>
        </is>
      </c>
    </row>
    <row r="21" ht="31.5" customHeight="1">
      <c r="A21" s="25" t="inlineStr">
        <is>
          <t>PT2CK66</t>
        </is>
      </c>
      <c r="C21" s="25" t="n">
        <v>140478</v>
      </c>
      <c r="D21" s="25" t="inlineStr">
        <is>
          <t>1-12</t>
        </is>
      </c>
      <c r="E21" s="44" t="n">
        <v>234</v>
      </c>
      <c r="F21" s="26" t="n">
        <v>9089.700000000001</v>
      </c>
      <c r="G21" s="26" t="inlineStr">
        <is>
          <t>SF</t>
        </is>
      </c>
      <c r="H21" s="26" t="n">
        <v>631.5</v>
      </c>
      <c r="I21" s="26" t="n">
        <v>676.5</v>
      </c>
      <c r="J21" s="26" t="n">
        <v>2.178</v>
      </c>
      <c r="K21" s="25" t="n"/>
      <c r="L21" s="25" t="n"/>
    </row>
    <row r="22" ht="31.5" customHeight="1">
      <c r="A22" s="25" t="inlineStr">
        <is>
          <t>PT2CK66</t>
        </is>
      </c>
      <c r="C22" s="25" t="n">
        <v>140478</v>
      </c>
      <c r="D22" s="46" t="n"/>
      <c r="E22" s="44" t="n">
        <v>290</v>
      </c>
      <c r="F22" s="26" t="n">
        <v>11343.8</v>
      </c>
      <c r="G22" s="26" t="inlineStr">
        <is>
          <t>SF</t>
        </is>
      </c>
      <c r="H22" s="26" t="n">
        <v>772.5</v>
      </c>
      <c r="I22" s="26" t="n">
        <v>817.5</v>
      </c>
      <c r="J22" s="26" t="n">
        <v>2.7324</v>
      </c>
      <c r="K22" s="25" t="n"/>
      <c r="L22" s="25" t="n"/>
    </row>
    <row r="23" ht="31.5" customHeight="1">
      <c r="A23" s="25" t="inlineStr">
        <is>
          <t>PT2CK66</t>
        </is>
      </c>
      <c r="C23" s="25" t="n">
        <v>140478</v>
      </c>
      <c r="D23" s="25" t="inlineStr">
        <is>
          <t>3-12</t>
        </is>
      </c>
      <c r="E23" s="44" t="n">
        <v>265</v>
      </c>
      <c r="F23" s="26" t="n">
        <v>10322.2</v>
      </c>
      <c r="G23" s="26" t="inlineStr">
        <is>
          <t>SF</t>
        </is>
      </c>
      <c r="H23" s="26" t="n">
        <v>711</v>
      </c>
      <c r="I23" s="26" t="n">
        <v>756</v>
      </c>
      <c r="J23" s="26" t="n">
        <v>2.6136</v>
      </c>
      <c r="K23" s="25" t="n"/>
      <c r="L23" s="25" t="n"/>
    </row>
    <row r="24" ht="31.5" customHeight="1">
      <c r="A24" s="25" t="inlineStr">
        <is>
          <t>PT2CK66</t>
        </is>
      </c>
      <c r="C24" s="25" t="n">
        <v>140478</v>
      </c>
      <c r="D24" s="25" t="inlineStr">
        <is>
          <t>4-12</t>
        </is>
      </c>
      <c r="E24" s="44" t="n">
        <v>265</v>
      </c>
      <c r="F24" s="26" t="n">
        <v>10201.4</v>
      </c>
      <c r="G24" s="26" t="inlineStr">
        <is>
          <t>SF</t>
        </is>
      </c>
      <c r="H24" s="26" t="n">
        <v>692.5</v>
      </c>
      <c r="I24" s="26" t="n">
        <v>737.5</v>
      </c>
      <c r="J24" s="26" t="n">
        <v>2.4552</v>
      </c>
      <c r="K24" s="25" t="n"/>
      <c r="L24" s="25" t="n"/>
    </row>
    <row r="25" ht="31.5" customHeight="1">
      <c r="A25" s="25" t="inlineStr">
        <is>
          <t>PT2CK66</t>
        </is>
      </c>
      <c r="C25" s="25" t="n">
        <v>140478</v>
      </c>
      <c r="D25" s="46" t="n"/>
      <c r="E25" s="44" t="n">
        <v>175</v>
      </c>
      <c r="F25" s="26" t="n">
        <v>6884.8</v>
      </c>
      <c r="G25" s="26" t="inlineStr">
        <is>
          <t>SF</t>
        </is>
      </c>
      <c r="H25" s="26" t="n">
        <v>461.5</v>
      </c>
      <c r="I25" s="26" t="n">
        <v>506.5</v>
      </c>
      <c r="J25" s="26" t="n">
        <v>2.0592</v>
      </c>
      <c r="K25" s="25" t="n"/>
      <c r="L25" s="25" t="n"/>
    </row>
    <row r="26" ht="31.5" customHeight="1">
      <c r="A26" s="25" t="inlineStr">
        <is>
          <t>PT2CK66</t>
        </is>
      </c>
      <c r="C26" s="25" t="n">
        <v>140478</v>
      </c>
      <c r="D26" s="25" t="inlineStr">
        <is>
          <t>6-12</t>
        </is>
      </c>
      <c r="E26" s="44" t="n">
        <v>254</v>
      </c>
      <c r="F26" s="26" t="n">
        <v>9850.200000000001</v>
      </c>
      <c r="G26" s="26" t="inlineStr">
        <is>
          <t>SF</t>
        </is>
      </c>
      <c r="H26" s="26" t="n">
        <v>642.0556</v>
      </c>
      <c r="I26" s="26" t="n">
        <v>684.3889</v>
      </c>
      <c r="J26" s="26" t="n">
        <v>2.2352</v>
      </c>
      <c r="K26" s="25" t="n"/>
      <c r="L26" s="25" t="n"/>
    </row>
    <row r="27" ht="31.5" customHeight="1">
      <c r="A27" s="25" t="inlineStr">
        <is>
          <t>PT2CK66</t>
        </is>
      </c>
      <c r="C27" s="25" t="n">
        <v>140478</v>
      </c>
      <c r="D27" s="47" t="n"/>
      <c r="E27" s="44" t="n">
        <v>2</v>
      </c>
      <c r="F27" s="26" t="n">
        <v>76</v>
      </c>
      <c r="G27" s="26" t="inlineStr">
        <is>
          <t>SF</t>
        </is>
      </c>
      <c r="H27" s="26" t="n">
        <v>5.0556</v>
      </c>
      <c r="I27" s="26" t="n">
        <v>5.3889</v>
      </c>
      <c r="J27" s="26" t="n">
        <v>0.0176</v>
      </c>
      <c r="K27" s="25" t="n"/>
      <c r="L27" s="25" t="n"/>
    </row>
    <row r="28" ht="31.5" customHeight="1">
      <c r="A28" s="25" t="inlineStr">
        <is>
          <t>PT2CK66</t>
        </is>
      </c>
      <c r="C28" s="25" t="n">
        <v>140478</v>
      </c>
      <c r="D28" s="47" t="n"/>
      <c r="E28" s="44" t="n">
        <v>14</v>
      </c>
      <c r="F28" s="26" t="n">
        <v>543</v>
      </c>
      <c r="G28" s="26" t="inlineStr">
        <is>
          <t>SF</t>
        </is>
      </c>
      <c r="H28" s="26" t="n">
        <v>35.3888</v>
      </c>
      <c r="I28" s="26" t="n">
        <v>37.7222</v>
      </c>
      <c r="J28" s="26" t="n">
        <v>0.1232</v>
      </c>
      <c r="K28" s="25" t="n"/>
      <c r="L28" s="25" t="n"/>
    </row>
    <row r="29" ht="31.5" customHeight="1">
      <c r="A29" s="25" t="inlineStr">
        <is>
          <t>PT2CK68</t>
        </is>
      </c>
      <c r="C29" s="25" t="n">
        <v>140478</v>
      </c>
      <c r="D29" s="46" t="n"/>
      <c r="E29" s="44" t="n">
        <v>280</v>
      </c>
      <c r="F29" s="26" t="n">
        <v>10978.2</v>
      </c>
      <c r="G29" s="26" t="inlineStr">
        <is>
          <t>SF</t>
        </is>
      </c>
      <c r="H29" s="26" t="n">
        <v>748.5</v>
      </c>
      <c r="I29" s="26" t="n">
        <v>793.5</v>
      </c>
      <c r="J29" s="26" t="n">
        <v>2.4948</v>
      </c>
      <c r="K29" s="25" t="n"/>
      <c r="L29" s="25" t="n"/>
    </row>
    <row r="30" ht="31.5" customHeight="1">
      <c r="A30" s="25" t="inlineStr">
        <is>
          <t>PT2CK68</t>
        </is>
      </c>
      <c r="C30" s="25" t="n">
        <v>140478</v>
      </c>
      <c r="D30" s="25" t="inlineStr">
        <is>
          <t>8-12</t>
        </is>
      </c>
      <c r="E30" s="44" t="n">
        <v>270</v>
      </c>
      <c r="F30" s="26" t="n">
        <v>10443.4</v>
      </c>
      <c r="G30" s="26" t="inlineStr">
        <is>
          <t>SF</t>
        </is>
      </c>
      <c r="H30" s="26" t="n">
        <v>714</v>
      </c>
      <c r="I30" s="26" t="n">
        <v>759</v>
      </c>
      <c r="J30" s="26" t="n">
        <v>2.6136</v>
      </c>
      <c r="K30" s="25" t="n"/>
      <c r="L30" s="25" t="n"/>
    </row>
    <row r="31" ht="31.5" customHeight="1">
      <c r="A31" s="25" t="inlineStr">
        <is>
          <t>PT2CK68</t>
        </is>
      </c>
      <c r="C31" s="25" t="n">
        <v>140478</v>
      </c>
      <c r="D31" s="25" t="inlineStr">
        <is>
          <t>9-12</t>
        </is>
      </c>
      <c r="E31" s="44" t="n">
        <v>235</v>
      </c>
      <c r="F31" s="26" t="n">
        <v>9190.299999999999</v>
      </c>
      <c r="G31" s="26" t="inlineStr">
        <is>
          <t>SF</t>
        </is>
      </c>
      <c r="H31" s="26" t="n">
        <v>631.5</v>
      </c>
      <c r="I31" s="26" t="n">
        <v>676.5</v>
      </c>
      <c r="J31" s="26" t="n">
        <v>2.2968</v>
      </c>
      <c r="K31" s="25" t="n"/>
      <c r="L31" s="25" t="n"/>
    </row>
    <row r="32" ht="31.5" customHeight="1">
      <c r="A32" s="25" t="inlineStr">
        <is>
          <t>PT2CT53</t>
        </is>
      </c>
      <c r="C32" s="25" t="n">
        <v>140478</v>
      </c>
      <c r="D32" s="25" t="inlineStr">
        <is>
          <t>10-12</t>
        </is>
      </c>
      <c r="E32" s="44" t="n">
        <v>290</v>
      </c>
      <c r="F32" s="26" t="n">
        <v>10603.4</v>
      </c>
      <c r="G32" s="26" t="inlineStr">
        <is>
          <t>SF</t>
        </is>
      </c>
      <c r="H32" s="26" t="n">
        <v>732</v>
      </c>
      <c r="I32" s="26" t="n">
        <v>777</v>
      </c>
      <c r="J32" s="26" t="n">
        <v>2.574</v>
      </c>
      <c r="K32" s="25" t="n"/>
      <c r="L32" s="25" t="n"/>
    </row>
    <row r="33" ht="31.5" customHeight="1">
      <c r="A33" s="25" t="inlineStr">
        <is>
          <t>PT2CT53</t>
        </is>
      </c>
      <c r="C33" s="25" t="n">
        <v>140478</v>
      </c>
      <c r="D33" s="25" t="inlineStr">
        <is>
          <t>11-12</t>
        </is>
      </c>
      <c r="E33" s="44" t="n">
        <v>290</v>
      </c>
      <c r="F33" s="26" t="n">
        <v>10849.5</v>
      </c>
      <c r="G33" s="26" t="inlineStr">
        <is>
          <t>SF</t>
        </is>
      </c>
      <c r="H33" s="26" t="n">
        <v>746.5</v>
      </c>
      <c r="I33" s="26" t="n">
        <v>791.5</v>
      </c>
      <c r="J33" s="26" t="n">
        <v>2.5344</v>
      </c>
      <c r="K33" s="25" t="n"/>
      <c r="L33" s="25" t="n"/>
    </row>
    <row r="34" ht="31.5" customHeight="1">
      <c r="A34" s="25" t="inlineStr">
        <is>
          <t>PT2CT53</t>
        </is>
      </c>
      <c r="C34" s="25" t="n">
        <v>140478</v>
      </c>
      <c r="D34" s="25" t="inlineStr">
        <is>
          <t>12-12</t>
        </is>
      </c>
      <c r="E34" s="44" t="n">
        <v>235</v>
      </c>
      <c r="F34" s="26" t="n">
        <v>8972.700000000001</v>
      </c>
      <c r="G34" s="26" t="inlineStr">
        <is>
          <t>SF</t>
        </is>
      </c>
      <c r="H34" s="26" t="n">
        <v>616.5</v>
      </c>
      <c r="I34" s="26" t="n">
        <v>661.5</v>
      </c>
      <c r="J34" s="26" t="n">
        <v>2.5344</v>
      </c>
      <c r="K34" s="25" t="n"/>
      <c r="L34" s="25" t="n"/>
    </row>
    <row r="35" ht="51.75" customHeight="1">
      <c r="A35" s="40" t="inlineStr">
        <is>
          <t>PT2CB01</t>
        </is>
      </c>
      <c r="C35" s="40" t="inlineStr">
        <is>
          <t>TOTAL：</t>
        </is>
      </c>
      <c r="D35" s="40" t="inlineStr">
        <is>
          <t>10-21</t>
        </is>
      </c>
      <c r="E35" s="41">
        <f>SUM(E21:E34)</f>
        <v/>
      </c>
      <c r="F35" s="42">
        <f>SUM(F21:F34)</f>
        <v/>
      </c>
      <c r="G35" s="42" t="inlineStr">
        <is>
          <t>SF</t>
        </is>
      </c>
      <c r="H35" s="42">
        <f>SUM(H21:H34)</f>
        <v/>
      </c>
      <c r="I35" s="42">
        <f>SUM(I21:I34)</f>
        <v/>
      </c>
      <c r="J35" s="42">
        <f>SUM(J21:J34)</f>
        <v/>
      </c>
      <c r="K35" s="40" t="n"/>
      <c r="L35" s="40" t="n"/>
    </row>
    <row r="36" ht="51.75" customHeight="1">
      <c r="A36" s="40" t="inlineStr">
        <is>
          <t>PT2CB01</t>
        </is>
      </c>
      <c r="C36" s="40" t="inlineStr">
        <is>
          <t>TOTAL：</t>
        </is>
      </c>
      <c r="D36" s="40" t="inlineStr">
        <is>
          <t>11-21</t>
        </is>
      </c>
      <c r="E36" s="41">
        <f>SUM(E21:E49,E21:E34)</f>
        <v/>
      </c>
      <c r="F36" s="42">
        <f>SUM(F21:F49,F21:F34)</f>
        <v/>
      </c>
      <c r="G36" s="42" t="inlineStr">
        <is>
          <t>SF</t>
        </is>
      </c>
      <c r="H36" s="42">
        <f>SUM(H21:H49,H21:H34)</f>
        <v/>
      </c>
      <c r="I36" s="42">
        <f>SUM(I21:I49,I21:I34)</f>
        <v/>
      </c>
      <c r="J36" s="42">
        <f>SUM(J21:J49,J21:J34)</f>
        <v/>
      </c>
      <c r="K36" s="40" t="n"/>
      <c r="L36" s="40" t="n"/>
    </row>
    <row r="37" ht="22.5" customHeight="1">
      <c r="A37" s="63" t="inlineStr">
        <is>
          <t>PT2CB01</t>
        </is>
      </c>
      <c r="B37" s="49" t="n"/>
      <c r="C37" s="67" t="inlineStr">
        <is>
          <t>TOTAL：</t>
        </is>
      </c>
      <c r="D37" s="68">
        <f>D72+D55</f>
        <v/>
      </c>
      <c r="E37" s="68">
        <f>E72+E55</f>
        <v/>
      </c>
      <c r="F37" s="67">
        <f>F72+F55</f>
        <v/>
      </c>
      <c r="G37" s="69" t="inlineStr">
        <is>
          <t>SF</t>
        </is>
      </c>
      <c r="H37" s="67">
        <f>H72+H55</f>
        <v/>
      </c>
      <c r="I37" s="67">
        <f>I72+I55</f>
        <v/>
      </c>
      <c r="J37" s="67">
        <f>J72+J55</f>
        <v/>
      </c>
      <c r="K37" s="70" t="n"/>
      <c r="L37" s="70" t="n"/>
      <c r="M37" s="71" t="n"/>
    </row>
    <row r="38" ht="15.75" customHeight="1">
      <c r="A38" s="72" t="inlineStr">
        <is>
          <t xml:space="preserve">Says total : </t>
        </is>
      </c>
      <c r="B38" s="49" t="n"/>
      <c r="C38" s="54" t="n">
        <v>140478</v>
      </c>
      <c r="D38" s="55" t="n"/>
      <c r="E38" s="55" t="n"/>
      <c r="F38" s="49" t="n"/>
      <c r="G38" s="51" t="inlineStr">
        <is>
          <t>SF</t>
        </is>
      </c>
      <c r="H38" s="56" t="n">
        <v>717.3913</v>
      </c>
      <c r="I38" s="56" t="n">
        <v>760.4348</v>
      </c>
      <c r="J38" s="50" t="n">
        <v>2.5378</v>
      </c>
      <c r="K38" s="50" t="n"/>
      <c r="L38" s="48" t="n"/>
    </row>
    <row r="39" ht="15.75" customHeight="1">
      <c r="A39" s="73" t="inlineStr">
        <is>
          <t xml:space="preserve">Total Net Weight: </t>
        </is>
      </c>
      <c r="B39" s="49" t="n"/>
      <c r="C39" s="74">
        <f>H73</f>
        <v/>
      </c>
      <c r="D39" s="55" t="n"/>
      <c r="E39" s="55" t="n"/>
      <c r="F39" s="49" t="n"/>
      <c r="G39" s="51" t="inlineStr">
        <is>
          <t>SF</t>
        </is>
      </c>
      <c r="H39" s="56" t="n">
        <v>32.6087</v>
      </c>
      <c r="I39" s="56" t="n">
        <v>34.5652</v>
      </c>
      <c r="J39" s="50" t="n">
        <v>0.1154</v>
      </c>
      <c r="K39" s="50" t="n"/>
      <c r="L39" s="48" t="n"/>
    </row>
    <row r="40" ht="15.75" customHeight="1">
      <c r="A40" s="73" t="inlineStr">
        <is>
          <t>Total G. Weight:</t>
        </is>
      </c>
      <c r="B40" s="49" t="n"/>
      <c r="C40" s="74">
        <f>I73</f>
        <v/>
      </c>
      <c r="D40" s="59" t="inlineStr">
        <is>
          <t>14-21</t>
        </is>
      </c>
      <c r="E40" s="48" t="n">
        <v>250</v>
      </c>
      <c r="F40" s="48" t="n">
        <v>9481.5</v>
      </c>
      <c r="G40" s="51" t="inlineStr">
        <is>
          <t>SF</t>
        </is>
      </c>
      <c r="H40" s="56" t="n">
        <v>644.1964</v>
      </c>
      <c r="I40" s="56" t="n">
        <v>684.375</v>
      </c>
      <c r="J40" s="50" t="n">
        <v>2.2982</v>
      </c>
      <c r="K40" s="50" t="n"/>
      <c r="L40" s="48" t="n"/>
    </row>
    <row r="41" ht="15.75" customHeight="1">
      <c r="A41" s="59" t="inlineStr">
        <is>
          <t>PT2CB13</t>
        </is>
      </c>
      <c r="C41" s="60" t="n">
        <v>140478</v>
      </c>
      <c r="D41" s="61" t="n"/>
      <c r="E41" s="60" t="n">
        <v>30</v>
      </c>
      <c r="F41" s="60" t="n">
        <v>1067.6</v>
      </c>
      <c r="G41" s="51" t="inlineStr">
        <is>
          <t>SF</t>
        </is>
      </c>
      <c r="H41" s="56" t="n">
        <v>77.3036</v>
      </c>
      <c r="I41" s="56" t="n">
        <v>82.125</v>
      </c>
      <c r="J41" s="50" t="n">
        <v>0.2758</v>
      </c>
      <c r="K41" s="50" t="n"/>
      <c r="L41" s="48" t="n"/>
    </row>
    <row r="42" ht="31.5" customHeight="1">
      <c r="A42" s="75" t="inlineStr">
        <is>
          <t>Warning information</t>
        </is>
      </c>
      <c r="B42" s="4" t="n"/>
      <c r="C42" s="60" t="n">
        <v>140478</v>
      </c>
      <c r="D42" s="60" t="inlineStr">
        <is>
          <t>15-21</t>
        </is>
      </c>
      <c r="E42" s="60" t="n">
        <v>280</v>
      </c>
      <c r="F42" s="60" t="n">
        <v>10549.6</v>
      </c>
      <c r="G42" s="63" t="inlineStr">
        <is>
          <t>SF</t>
        </is>
      </c>
      <c r="H42" s="63" t="n">
        <v>719.5</v>
      </c>
      <c r="I42" s="63" t="n">
        <v>764.5</v>
      </c>
      <c r="J42" s="59" t="n">
        <v>2.6532</v>
      </c>
      <c r="K42" s="63" t="n"/>
      <c r="L42" s="48" t="n"/>
    </row>
    <row r="43" ht="31.5" customHeight="1">
      <c r="A43" s="64" t="inlineStr">
        <is>
          <t>PT2CB13</t>
        </is>
      </c>
      <c r="B43" s="4" t="n"/>
      <c r="C43" s="60" t="n">
        <v>140478</v>
      </c>
      <c r="D43" s="60" t="inlineStr">
        <is>
          <t>16-21</t>
        </is>
      </c>
      <c r="E43" s="48" t="n">
        <v>290</v>
      </c>
      <c r="F43" s="60" t="n">
        <v>10810.8</v>
      </c>
      <c r="G43" s="63" t="inlineStr">
        <is>
          <t>SF</t>
        </is>
      </c>
      <c r="H43" s="63" t="n">
        <v>754.5</v>
      </c>
      <c r="I43" s="63" t="n">
        <v>799.5</v>
      </c>
      <c r="J43" s="59" t="n">
        <v>2.574</v>
      </c>
      <c r="K43" s="63" t="n"/>
      <c r="L43" s="48" t="n"/>
    </row>
    <row r="44" ht="31.5" customHeight="1">
      <c r="A44" s="64" t="inlineStr">
        <is>
          <t>PT2CB13</t>
        </is>
      </c>
      <c r="B44" s="4" t="n"/>
      <c r="C44" s="60" t="n">
        <v>140478</v>
      </c>
      <c r="D44" s="60" t="inlineStr">
        <is>
          <t>17-21</t>
        </is>
      </c>
      <c r="E44" s="48" t="n">
        <v>280</v>
      </c>
      <c r="F44" s="60" t="n">
        <v>10689.2</v>
      </c>
      <c r="G44" s="63" t="inlineStr">
        <is>
          <t>SF</t>
        </is>
      </c>
      <c r="H44" s="63" t="n">
        <v>713</v>
      </c>
      <c r="I44" s="63" t="n">
        <v>758</v>
      </c>
      <c r="J44" s="59" t="n">
        <v>2.574</v>
      </c>
      <c r="K44" s="63" t="n"/>
      <c r="L44" s="48" t="n"/>
    </row>
    <row r="45" ht="20.25" customHeight="1">
      <c r="A45" s="63" t="inlineStr">
        <is>
          <t>PT2CB13</t>
        </is>
      </c>
      <c r="B45" s="55" t="n"/>
      <c r="C45" s="55" t="n"/>
      <c r="D45" s="55" t="n"/>
      <c r="E45" s="55" t="n"/>
      <c r="F45" s="55" t="n"/>
      <c r="G45" s="55" t="n"/>
      <c r="H45" s="55" t="n"/>
      <c r="I45" s="55" t="n"/>
      <c r="J45" s="55" t="n"/>
      <c r="K45" s="49" t="n"/>
      <c r="L45" s="48" t="n"/>
    </row>
    <row r="46" ht="31.5" customHeight="1">
      <c r="A46" s="65">
        <f>A1</f>
        <v/>
      </c>
      <c r="C46" s="48" t="n">
        <v>140519</v>
      </c>
      <c r="D46" s="48" t="inlineStr">
        <is>
          <t>19-21</t>
        </is>
      </c>
      <c r="E46" s="48" t="n">
        <v>280</v>
      </c>
      <c r="F46" s="48" t="n">
        <v>10102.1</v>
      </c>
      <c r="G46" s="48" t="inlineStr">
        <is>
          <t>SF</t>
        </is>
      </c>
      <c r="H46" s="48" t="n">
        <v>730.5</v>
      </c>
      <c r="I46" s="48" t="n">
        <v>775.5</v>
      </c>
      <c r="J46" s="48" t="n">
        <v>2.574</v>
      </c>
      <c r="K46" s="48" t="n"/>
      <c r="L46" s="48" t="n"/>
    </row>
    <row r="47" ht="31.5" customHeight="1">
      <c r="A47" s="25" t="inlineStr">
        <is>
          <t>PT2CB07</t>
        </is>
      </c>
      <c r="C47" s="25" t="n">
        <v>140519</v>
      </c>
      <c r="D47" s="25" t="inlineStr">
        <is>
          <t>20-21</t>
        </is>
      </c>
      <c r="E47" s="44" t="n">
        <v>280</v>
      </c>
      <c r="F47" s="26" t="n">
        <v>10090.5</v>
      </c>
      <c r="G47" s="26" t="inlineStr">
        <is>
          <t>SF</t>
        </is>
      </c>
      <c r="H47" s="26" t="n">
        <v>737.5</v>
      </c>
      <c r="I47" s="26" t="n">
        <v>782.5</v>
      </c>
      <c r="J47" s="26" t="n">
        <v>2.3364</v>
      </c>
      <c r="K47" s="25" t="n"/>
      <c r="L47" s="25" t="n"/>
    </row>
    <row r="48" ht="31.5" customHeight="1">
      <c r="A48" s="25" t="inlineStr">
        <is>
          <t>PT2CB07</t>
        </is>
      </c>
      <c r="C48" s="25" t="n">
        <v>140519</v>
      </c>
      <c r="D48" s="66" t="inlineStr">
        <is>
          <t>21-21</t>
        </is>
      </c>
      <c r="E48" s="44" t="n">
        <v>249</v>
      </c>
      <c r="F48" s="26" t="n">
        <v>8982.9</v>
      </c>
      <c r="G48" s="26" t="inlineStr">
        <is>
          <t>SF</t>
        </is>
      </c>
      <c r="H48" s="26" t="n">
        <v>650.9834</v>
      </c>
      <c r="I48" s="26" t="n">
        <v>692.3303</v>
      </c>
      <c r="J48" s="26" t="n">
        <v>1.9648</v>
      </c>
      <c r="K48" s="25" t="n"/>
      <c r="L48" s="25" t="n"/>
    </row>
    <row r="49" ht="31.5" customHeight="1">
      <c r="A49" s="25" t="inlineStr">
        <is>
          <t>PT2CB07</t>
        </is>
      </c>
      <c r="C49" s="25" t="n">
        <v>140519</v>
      </c>
      <c r="D49" s="46" t="n"/>
      <c r="E49" s="44" t="n">
        <v>22</v>
      </c>
      <c r="F49" s="26" t="n">
        <v>764</v>
      </c>
      <c r="G49" s="26" t="inlineStr">
        <is>
          <t>SF</t>
        </is>
      </c>
      <c r="H49" s="26" t="n">
        <v>57.5166</v>
      </c>
      <c r="I49" s="26" t="n">
        <v>61.1697</v>
      </c>
      <c r="J49" s="26" t="n">
        <v>0.1736</v>
      </c>
      <c r="K49" s="25" t="n"/>
      <c r="L49" s="25" t="n"/>
    </row>
    <row r="50" ht="51.75" customHeight="1">
      <c r="A50" s="40" t="n"/>
      <c r="C50" s="40" t="inlineStr">
        <is>
          <t>TOTAL：</t>
        </is>
      </c>
      <c r="D50" s="40" t="n"/>
      <c r="E50" s="41">
        <f>SUM(E21:E49)</f>
        <v/>
      </c>
      <c r="F50" s="42">
        <f>SUM(F21:F49)</f>
        <v/>
      </c>
      <c r="G50" s="42" t="n"/>
      <c r="H50" s="42">
        <f>SUM(H21:H49)</f>
        <v/>
      </c>
      <c r="I50" s="42">
        <f>SUM(I21:I49)</f>
        <v/>
      </c>
      <c r="J50" s="42">
        <f>SUM(J21:J49)</f>
        <v/>
      </c>
      <c r="K50" s="40" t="n"/>
      <c r="L50" s="40" t="n"/>
    </row>
  </sheetData>
  <mergeCells count="19">
    <mergeCell ref="C39:F39"/>
    <mergeCell ref="D21:D22"/>
    <mergeCell ref="C38:F38"/>
    <mergeCell ref="A3:L3"/>
    <mergeCell ref="A45:K45"/>
    <mergeCell ref="A2:L2"/>
    <mergeCell ref="D48:D49"/>
    <mergeCell ref="A5:L5"/>
    <mergeCell ref="A37:B37"/>
    <mergeCell ref="A4:L4"/>
    <mergeCell ref="D24:D25"/>
    <mergeCell ref="A38:B38"/>
    <mergeCell ref="D38:D39"/>
    <mergeCell ref="A1:L1"/>
    <mergeCell ref="D26:D29"/>
    <mergeCell ref="A6:L6"/>
    <mergeCell ref="A40:B40"/>
    <mergeCell ref="A39:B39"/>
    <mergeCell ref="D40:D41"/>
  </mergeCells>
  <printOptions horizontalCentered="1" verticalCentered="0"/>
  <pageMargins left="0.1" right="0.1" top="0.75" bottom="0.7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invoice_no</t>
        </is>
      </c>
      <c r="B1" t="inlineStr"/>
    </row>
    <row r="2">
      <c r="A2" t="inlineStr">
        <is>
          <t>ref_no</t>
        </is>
      </c>
      <c r="B2" t="inlineStr"/>
    </row>
    <row r="3">
      <c r="A3" t="inlineStr">
        <is>
          <t>date</t>
        </is>
      </c>
      <c r="B3" t="inlineStr"/>
    </row>
    <row r="4">
      <c r="A4" t="inlineStr">
        <is>
          <t>net</t>
        </is>
      </c>
      <c r="B4" t="n">
        <v>22372.5</v>
      </c>
    </row>
    <row r="5">
      <c r="A5" t="inlineStr">
        <is>
          <t>gross</t>
        </is>
      </c>
      <c r="B5" t="n">
        <v>23857.5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1.875" customWidth="1" min="1" max="1"/>
    <col width="7.25" customWidth="1" min="2" max="2"/>
    <col width="8.25" customWidth="1" min="3" max="3"/>
    <col width="9.5" customWidth="1" min="4" max="4"/>
    <col width="7.25" customWidth="1" min="5" max="5"/>
    <col width="7.125" customWidth="1" min="6" max="6"/>
    <col width="8.75" customWidth="1" min="7" max="7"/>
    <col width="6.875" customWidth="1" min="8" max="8"/>
    <col width="9.125" customWidth="1" min="9" max="9"/>
  </cols>
  <sheetData>
    <row r="1" ht="47.25" customHeight="1">
      <c r="A1" s="76" t="inlineStr">
        <is>
          <t>Vendor Name</t>
        </is>
      </c>
      <c r="B1" s="76" t="inlineStr">
        <is>
          <t>Item No</t>
        </is>
      </c>
      <c r="C1" s="76" t="inlineStr">
        <is>
          <t>Item DSC</t>
        </is>
      </c>
      <c r="D1" s="77" t="inlineStr">
        <is>
          <t>Order No</t>
        </is>
      </c>
      <c r="E1" s="78" t="inlineStr">
        <is>
          <t>Original Order Q'ty</t>
        </is>
      </c>
      <c r="F1" s="79" t="inlineStr">
        <is>
          <t>Vendor ETD</t>
        </is>
      </c>
      <c r="G1" s="80" t="inlineStr">
        <is>
          <t>Container No</t>
        </is>
      </c>
      <c r="H1" s="81" t="inlineStr">
        <is>
          <t>Remark</t>
        </is>
      </c>
    </row>
    <row r="2">
      <c r="A2" s="82" t="inlineStr">
        <is>
          <t>…</t>
        </is>
      </c>
      <c r="B2" s="82" t="inlineStr">
        <is>
          <t>…</t>
        </is>
      </c>
      <c r="C2" s="82" t="inlineStr">
        <is>
          <t>…</t>
        </is>
      </c>
      <c r="D2" s="82" t="inlineStr">
        <is>
          <t>…</t>
        </is>
      </c>
      <c r="E2" s="82" t="inlineStr">
        <is>
          <t>…</t>
        </is>
      </c>
      <c r="F2" s="82" t="inlineStr">
        <is>
          <t>…</t>
        </is>
      </c>
      <c r="G2" s="82" t="inlineStr">
        <is>
          <t>…</t>
        </is>
      </c>
      <c r="H2" s="83" t="n"/>
    </row>
    <row r="3">
      <c r="A3" s="82" t="inlineStr">
        <is>
          <t>…</t>
        </is>
      </c>
      <c r="B3" s="82" t="inlineStr">
        <is>
          <t>…</t>
        </is>
      </c>
      <c r="C3" s="82" t="inlineStr">
        <is>
          <t>…</t>
        </is>
      </c>
      <c r="D3" s="82" t="inlineStr">
        <is>
          <t>…</t>
        </is>
      </c>
      <c r="E3" s="82" t="inlineStr">
        <is>
          <t>…</t>
        </is>
      </c>
      <c r="F3" s="82" t="inlineStr">
        <is>
          <t>…</t>
        </is>
      </c>
      <c r="G3" s="82" t="inlineStr">
        <is>
          <t>…</t>
        </is>
      </c>
      <c r="H3" s="83" t="n"/>
    </row>
    <row r="4">
      <c r="A4" s="82" t="inlineStr">
        <is>
          <t>…</t>
        </is>
      </c>
      <c r="B4" s="82" t="inlineStr">
        <is>
          <t>…</t>
        </is>
      </c>
      <c r="C4" s="82" t="inlineStr">
        <is>
          <t>…</t>
        </is>
      </c>
      <c r="D4" s="82" t="inlineStr">
        <is>
          <t>…</t>
        </is>
      </c>
      <c r="E4" s="82" t="inlineStr">
        <is>
          <t>…</t>
        </is>
      </c>
      <c r="F4" s="82" t="inlineStr">
        <is>
          <t>…</t>
        </is>
      </c>
      <c r="G4" s="82" t="inlineStr">
        <is>
          <t>…</t>
        </is>
      </c>
      <c r="H4" s="83" t="n"/>
    </row>
    <row r="5">
      <c r="A5" s="82" t="inlineStr">
        <is>
          <t>…</t>
        </is>
      </c>
      <c r="B5" s="82" t="inlineStr">
        <is>
          <t>…</t>
        </is>
      </c>
      <c r="C5" s="82" t="inlineStr">
        <is>
          <t>…</t>
        </is>
      </c>
      <c r="D5" s="82" t="inlineStr">
        <is>
          <t>…</t>
        </is>
      </c>
      <c r="E5" s="82" t="inlineStr">
        <is>
          <t>…</t>
        </is>
      </c>
      <c r="F5" s="82" t="inlineStr">
        <is>
          <t>…</t>
        </is>
      </c>
      <c r="G5" s="82" t="inlineStr">
        <is>
          <t>…</t>
        </is>
      </c>
      <c r="H5" s="83" t="n"/>
    </row>
    <row r="6">
      <c r="A6" s="82" t="inlineStr">
        <is>
          <t>…</t>
        </is>
      </c>
      <c r="B6" s="82" t="inlineStr">
        <is>
          <t>…</t>
        </is>
      </c>
      <c r="C6" s="82" t="inlineStr">
        <is>
          <t>…</t>
        </is>
      </c>
      <c r="D6" s="82" t="inlineStr">
        <is>
          <t>…</t>
        </is>
      </c>
      <c r="E6" s="82" t="inlineStr">
        <is>
          <t>…</t>
        </is>
      </c>
      <c r="F6" s="82" t="inlineStr">
        <is>
          <t>…</t>
        </is>
      </c>
      <c r="G6" s="82" t="inlineStr">
        <is>
          <t>…</t>
        </is>
      </c>
      <c r="H6" s="83" t="n"/>
    </row>
    <row r="7">
      <c r="A7" s="82" t="inlineStr">
        <is>
          <t>…</t>
        </is>
      </c>
      <c r="B7" s="82" t="inlineStr">
        <is>
          <t>…</t>
        </is>
      </c>
      <c r="C7" s="82" t="inlineStr">
        <is>
          <t>…</t>
        </is>
      </c>
      <c r="D7" s="82" t="inlineStr">
        <is>
          <t>…</t>
        </is>
      </c>
      <c r="E7" s="82" t="inlineStr">
        <is>
          <t>…</t>
        </is>
      </c>
      <c r="F7" s="82" t="inlineStr">
        <is>
          <t>…</t>
        </is>
      </c>
      <c r="G7" s="82" t="inlineStr">
        <is>
          <t>…</t>
        </is>
      </c>
      <c r="H7" s="8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50"/>
  <sheetViews>
    <sheetView workbookViewId="0">
      <selection activeCell="A1" sqref="A1"/>
    </sheetView>
  </sheetViews>
  <sheetFormatPr baseColWidth="8" defaultRowHeight="15"/>
  <cols>
    <col width="2.5" customWidth="1" min="1" max="1"/>
    <col width="2.25" customWidth="1" min="2" max="2"/>
    <col width="2.5" customWidth="1" min="6" max="6"/>
    <col width="2.75" customWidth="1" min="23" max="23"/>
    <col width="5" customWidth="1" min="35" max="35"/>
    <col width="2.75" customWidth="1" min="36" max="36"/>
    <col width="3.125" customWidth="1" min="37" max="37"/>
    <col width="10" customWidth="1" min="49" max="49"/>
  </cols>
  <sheetData>
    <row r="1" ht="3.75" customHeight="1"/>
    <row r="2" ht="15" customHeight="1">
      <c r="A2" s="84" t="inlineStr">
        <is>
          <t>HẢI QUAN VIỆT NAM</t>
        </is>
      </c>
      <c r="B2" s="85" t="n"/>
      <c r="C2" s="85" t="n"/>
      <c r="D2" s="85" t="n"/>
      <c r="E2" s="85" t="n"/>
      <c r="F2" s="85" t="n"/>
      <c r="G2" s="85" t="n"/>
      <c r="H2" s="85" t="n"/>
      <c r="I2" s="85" t="n"/>
      <c r="J2" s="86" t="n"/>
      <c r="K2" s="86" t="inlineStr">
        <is>
          <t>TỜ KHAI HÀNG HÓA NHẬP KHẨU</t>
        </is>
      </c>
      <c r="L2" s="86" t="n"/>
      <c r="M2" s="86" t="n"/>
      <c r="N2" s="86" t="n"/>
      <c r="O2" s="86" t="n"/>
      <c r="P2" s="86" t="n"/>
      <c r="Q2" s="86" t="n"/>
      <c r="R2" s="86" t="n"/>
      <c r="S2" s="86" t="n"/>
      <c r="T2" s="86" t="n"/>
      <c r="U2" s="86" t="n"/>
      <c r="V2" s="86" t="n"/>
      <c r="W2" s="86" t="n"/>
      <c r="X2" s="86" t="n"/>
      <c r="Y2" s="86" t="n"/>
      <c r="Z2" s="86" t="n"/>
      <c r="AA2" s="86" t="n"/>
      <c r="AB2" s="86" t="n"/>
      <c r="AC2" s="86" t="n"/>
      <c r="AD2" s="86" t="n"/>
      <c r="AE2" s="86" t="n"/>
      <c r="AF2" s="86" t="n"/>
      <c r="AG2" s="86" t="n"/>
      <c r="AH2" s="86" t="n"/>
      <c r="AI2" s="87" t="n"/>
      <c r="AJ2" s="88" t="n"/>
    </row>
    <row r="3" ht="15" customHeight="1">
      <c r="A3" s="89" t="n">
        <v>0</v>
      </c>
      <c r="B3" s="90" t="n"/>
      <c r="C3" s="90" t="n"/>
      <c r="D3" s="90" t="n"/>
      <c r="E3" s="90" t="n"/>
      <c r="F3" s="90" t="n"/>
      <c r="G3" s="90" t="n"/>
      <c r="H3" s="90" t="n"/>
      <c r="I3" s="90" t="n"/>
      <c r="J3" s="91">
        <f>+IF(A3=0,"Bản lưu Hải quan","Bản lưu người khai Hải quan")</f>
        <v/>
      </c>
      <c r="K3" s="92" t="n"/>
      <c r="L3" s="92" t="n"/>
      <c r="M3" s="92" t="n"/>
      <c r="N3" s="92" t="n"/>
      <c r="O3" s="92" t="n"/>
      <c r="P3" s="92" t="n"/>
      <c r="Q3" s="92" t="n"/>
      <c r="R3" s="92" t="n"/>
      <c r="S3" s="92" t="n"/>
      <c r="T3" s="92" t="n"/>
      <c r="U3" s="92" t="n"/>
      <c r="V3" s="92" t="n"/>
      <c r="W3" s="92" t="n"/>
      <c r="X3" s="92" t="n"/>
      <c r="Y3" s="92" t="n"/>
      <c r="Z3" s="92" t="n"/>
      <c r="AA3" s="90" t="n"/>
      <c r="AB3" s="90" t="n"/>
      <c r="AC3" s="90" t="n"/>
      <c r="AD3" s="90" t="n"/>
      <c r="AE3" s="90" t="n"/>
      <c r="AF3" s="93" t="inlineStr">
        <is>
          <t>HQ/2002-NK</t>
        </is>
      </c>
      <c r="AG3" s="92" t="n"/>
      <c r="AH3" s="92" t="n"/>
      <c r="AI3" s="92" t="n"/>
    </row>
    <row r="4" ht="14.25" customHeight="1">
      <c r="A4" s="94" t="inlineStr">
        <is>
          <t xml:space="preserve"> TỔNG CỤC HẢI QUAN</t>
        </is>
      </c>
      <c r="B4" s="95" t="n"/>
      <c r="C4" s="95" t="n"/>
      <c r="D4" s="95" t="n"/>
      <c r="E4" s="95" t="n"/>
      <c r="F4" s="95" t="n"/>
      <c r="G4" s="95" t="n"/>
      <c r="H4" s="95" t="n"/>
      <c r="I4" s="95" t="n"/>
      <c r="J4" s="95" t="n"/>
      <c r="K4" s="95" t="n"/>
      <c r="L4" s="96" t="n"/>
      <c r="M4" s="95" t="inlineStr">
        <is>
          <t xml:space="preserve"> Tờ khai số:</t>
        </is>
      </c>
      <c r="N4" s="97" t="n"/>
      <c r="O4" s="95" t="n"/>
      <c r="P4" s="98" t="n"/>
      <c r="Q4" s="99" t="n"/>
      <c r="R4" s="100" t="n"/>
      <c r="S4" s="98" t="n"/>
      <c r="T4" s="98" t="inlineStr">
        <is>
          <t xml:space="preserve">/NK/             /  </t>
        </is>
      </c>
      <c r="U4" s="98" t="n"/>
      <c r="V4" s="101" t="n"/>
      <c r="W4" s="97" t="n"/>
      <c r="X4" s="102" t="n"/>
      <c r="Y4" s="103" t="inlineStr">
        <is>
          <t xml:space="preserve"> Cán bộ đăng ký (Ký, ghi rõ họ tên)</t>
        </is>
      </c>
      <c r="Z4" s="95" t="n"/>
      <c r="AA4" s="95" t="n"/>
      <c r="AB4" s="95" t="n"/>
      <c r="AC4" s="97" t="n"/>
      <c r="AD4" s="97" t="n"/>
      <c r="AE4" s="97" t="n"/>
      <c r="AF4" s="97" t="n"/>
      <c r="AG4" s="95" t="n"/>
      <c r="AH4" s="95" t="n"/>
      <c r="AI4" s="104" t="n"/>
    </row>
    <row r="5" ht="12.75" customHeight="1">
      <c r="A5" s="94" t="inlineStr">
        <is>
          <t xml:space="preserve"> Cục Hải quan</t>
        </is>
      </c>
      <c r="B5" s="105" t="n"/>
      <c r="C5" s="105" t="n"/>
      <c r="D5" s="105" t="n"/>
      <c r="E5" s="106" t="inlineStr">
        <is>
          <t>Tỉnh Bình Dương</t>
        </is>
      </c>
      <c r="L5" s="107" t="n"/>
      <c r="M5" s="108" t="inlineStr">
        <is>
          <t xml:space="preserve">  Ngày đăng ký:</t>
        </is>
      </c>
      <c r="R5" s="109" t="n"/>
      <c r="S5" s="109" t="n"/>
      <c r="T5" s="110" t="n">
        <v>6</v>
      </c>
      <c r="X5" s="111" t="n"/>
      <c r="Y5" s="97" t="n"/>
      <c r="Z5" s="95" t="n"/>
      <c r="AA5" s="95" t="n"/>
      <c r="AB5" s="95" t="n"/>
      <c r="AC5" s="112" t="n"/>
      <c r="AD5" s="112" t="n"/>
      <c r="AE5" s="112" t="n"/>
      <c r="AF5" s="112" t="n"/>
      <c r="AG5" s="95" t="n"/>
      <c r="AH5" s="95" t="n"/>
      <c r="AI5" s="104" t="n"/>
    </row>
    <row r="6" ht="16.5" customHeight="1">
      <c r="A6" s="113" t="inlineStr">
        <is>
          <t xml:space="preserve"> Chi cục Hải quan:</t>
        </is>
      </c>
      <c r="B6" s="114" t="n"/>
      <c r="C6" s="114" t="n"/>
      <c r="D6" s="114" t="n"/>
      <c r="E6" s="114" t="n"/>
      <c r="F6" s="115" t="inlineStr">
        <is>
          <t>Chi cục HQ Sóng Thần</t>
        </is>
      </c>
      <c r="G6" s="116" t="n"/>
      <c r="H6" s="116" t="n"/>
      <c r="I6" s="116" t="n"/>
      <c r="J6" s="116" t="n"/>
      <c r="K6" s="116" t="n"/>
      <c r="L6" s="117" t="n"/>
      <c r="M6" s="118" t="inlineStr">
        <is>
          <t xml:space="preserve"> Số lượng phụ lục tờ khai:</t>
        </is>
      </c>
      <c r="N6" s="116" t="n"/>
      <c r="O6" s="116" t="n"/>
      <c r="P6" s="116" t="n"/>
      <c r="Q6" s="116" t="n"/>
      <c r="R6" s="116" t="n"/>
      <c r="S6" s="116" t="n"/>
      <c r="T6" s="116" t="n"/>
      <c r="U6" s="119" t="n">
        <v>0</v>
      </c>
      <c r="V6" s="116" t="n"/>
      <c r="W6" s="116" t="n"/>
      <c r="X6" s="117" t="n"/>
      <c r="Y6" s="120" t="n"/>
      <c r="Z6" s="121" t="n"/>
      <c r="AA6" s="121" t="n"/>
      <c r="AB6" s="121" t="n"/>
      <c r="AC6" s="121" t="n"/>
      <c r="AD6" s="122" t="n"/>
      <c r="AE6" s="122" t="n"/>
      <c r="AF6" s="122" t="n"/>
      <c r="AG6" s="122" t="n"/>
      <c r="AH6" s="122" t="n"/>
      <c r="AI6" s="123" t="n"/>
    </row>
    <row r="7" ht="15" customHeight="1">
      <c r="A7" s="124" t="inlineStr">
        <is>
          <t>A-PHẦN DÀNH CHO NGƯỜI KHAI HẢI QUAN KÊ KHAI</t>
        </is>
      </c>
      <c r="B7" s="125" t="n"/>
      <c r="C7" s="125" t="n"/>
      <c r="D7" s="125" t="n"/>
      <c r="E7" s="125" t="n"/>
      <c r="F7" s="125" t="n"/>
      <c r="G7" s="125" t="n"/>
      <c r="H7" s="125" t="n"/>
      <c r="I7" s="125" t="n"/>
      <c r="J7" s="125" t="n"/>
      <c r="K7" s="125" t="n"/>
      <c r="L7" s="125" t="n"/>
      <c r="M7" s="125" t="n"/>
      <c r="N7" s="125" t="n"/>
      <c r="O7" s="125" t="n"/>
      <c r="P7" s="125" t="n"/>
      <c r="Q7" s="125" t="n"/>
      <c r="R7" s="125" t="n"/>
      <c r="S7" s="125" t="n"/>
      <c r="T7" s="125" t="n"/>
      <c r="U7" s="125" t="n"/>
      <c r="V7" s="125" t="n"/>
      <c r="W7" s="125" t="n"/>
      <c r="X7" s="125" t="n"/>
      <c r="Y7" s="125" t="n"/>
      <c r="Z7" s="125" t="n"/>
      <c r="AA7" s="125" t="n"/>
      <c r="AB7" s="125" t="n"/>
      <c r="AC7" s="125" t="n"/>
      <c r="AD7" s="125" t="n"/>
      <c r="AE7" s="125" t="n"/>
      <c r="AF7" s="125" t="n"/>
      <c r="AG7" s="125" t="n"/>
      <c r="AH7" s="125" t="n"/>
      <c r="AI7" s="126" t="n"/>
    </row>
    <row r="8" ht="12.75" customHeight="1">
      <c r="A8" s="127" t="inlineStr">
        <is>
          <t>1.Người nhập khẩu</t>
        </is>
      </c>
      <c r="B8" s="101" t="n"/>
      <c r="C8" s="101" t="n"/>
      <c r="D8" s="101" t="n"/>
      <c r="E8" s="101" t="n"/>
      <c r="F8" s="128" t="n">
        <v>3</v>
      </c>
      <c r="G8" s="128" t="n">
        <v>7</v>
      </c>
      <c r="H8" s="128" t="n">
        <v>0</v>
      </c>
      <c r="I8" s="128" t="n">
        <v>0</v>
      </c>
      <c r="J8" s="128" t="n">
        <v>5</v>
      </c>
      <c r="K8" s="128" t="n">
        <v>3</v>
      </c>
      <c r="L8" s="128" t="n">
        <v>9</v>
      </c>
      <c r="M8" s="128" t="n">
        <v>0</v>
      </c>
      <c r="N8" s="128" t="n">
        <v>0</v>
      </c>
      <c r="O8" s="128" t="n">
        <v>0</v>
      </c>
      <c r="P8" s="129" t="n"/>
      <c r="Q8" s="129" t="n"/>
      <c r="R8" s="129" t="n"/>
      <c r="S8" s="130" t="inlineStr">
        <is>
          <t xml:space="preserve">5. Loại hình: </t>
        </is>
      </c>
      <c r="T8" s="95" t="n"/>
      <c r="U8" s="95" t="n"/>
      <c r="V8" s="131" t="n"/>
      <c r="W8" s="131" t="n"/>
      <c r="X8" s="132" t="n"/>
      <c r="Y8" s="112" t="inlineStr">
        <is>
          <t xml:space="preserve"> 6.Giấy phép( nếu có)</t>
        </is>
      </c>
      <c r="Z8" s="133" t="n"/>
      <c r="AA8" s="112" t="n"/>
      <c r="AB8" s="95" t="n"/>
      <c r="AC8" s="131" t="n"/>
      <c r="AD8" s="132" t="n"/>
      <c r="AE8" s="95" t="inlineStr">
        <is>
          <t xml:space="preserve"> 7.Hợp đồng</t>
        </is>
      </c>
      <c r="AF8" s="95" t="n"/>
      <c r="AG8" s="95" t="n"/>
      <c r="AH8" s="131" t="n"/>
      <c r="AI8" s="134" t="n"/>
    </row>
    <row r="9" ht="4.5" customHeight="1">
      <c r="A9" s="135" t="n"/>
      <c r="B9" s="101" t="n"/>
      <c r="C9" s="101" t="n"/>
      <c r="D9" s="101" t="n"/>
      <c r="E9" s="101" t="n"/>
      <c r="F9" s="136" t="n"/>
      <c r="G9" s="136" t="n"/>
      <c r="H9" s="136" t="n"/>
      <c r="I9" s="136" t="n"/>
      <c r="J9" s="136" t="n"/>
      <c r="K9" s="136" t="n"/>
      <c r="L9" s="136" t="n"/>
      <c r="M9" s="136" t="n"/>
      <c r="N9" s="136" t="n"/>
      <c r="O9" s="136" t="n"/>
      <c r="P9" s="136" t="n"/>
      <c r="Q9" s="136" t="n"/>
      <c r="R9" s="136" t="n"/>
      <c r="S9" s="137" t="n"/>
      <c r="T9" s="95" t="n"/>
      <c r="U9" s="95" t="n"/>
      <c r="V9" s="138" t="n"/>
      <c r="W9" s="138" t="n"/>
      <c r="X9" s="139" t="n"/>
      <c r="Y9" s="112" t="n"/>
      <c r="Z9" s="112" t="n"/>
      <c r="AA9" s="112" t="n"/>
      <c r="AB9" s="95" t="n"/>
      <c r="AC9" s="95" t="n"/>
      <c r="AD9" s="96" t="n"/>
      <c r="AE9" s="95" t="n"/>
      <c r="AF9" s="95" t="n"/>
      <c r="AG9" s="95" t="n"/>
      <c r="AH9" s="95" t="n"/>
      <c r="AI9" s="104" t="n"/>
    </row>
    <row r="10" ht="14.25" customHeight="1">
      <c r="A10" s="140" t="n"/>
      <c r="B10" s="141" t="inlineStr">
        <is>
          <t>CÔNG TY TNHH KỸ NGHỆ GỖ HOA NÉT</t>
        </is>
      </c>
      <c r="C10" s="95" t="n"/>
      <c r="D10" s="95" t="n"/>
      <c r="E10" s="95" t="n"/>
      <c r="F10" s="95" t="n"/>
      <c r="G10" s="95" t="n"/>
      <c r="H10" s="95" t="n"/>
      <c r="I10" s="95" t="n"/>
      <c r="J10" s="95" t="n"/>
      <c r="K10" s="95" t="n"/>
      <c r="L10" s="95" t="n"/>
      <c r="M10" s="95" t="n"/>
      <c r="N10" s="95" t="n"/>
      <c r="O10" s="95" t="n"/>
      <c r="P10" s="95" t="n"/>
      <c r="Q10" s="95" t="n"/>
      <c r="R10" s="96" t="n"/>
      <c r="S10" s="137" t="n"/>
      <c r="T10" s="95" t="inlineStr">
        <is>
          <t>KD</t>
        </is>
      </c>
      <c r="U10" s="95" t="n"/>
      <c r="V10" s="95" t="inlineStr">
        <is>
          <t xml:space="preserve"> ĐT</t>
        </is>
      </c>
      <c r="W10" s="95" t="n"/>
      <c r="X10" s="96" t="inlineStr">
        <is>
          <t>GC</t>
        </is>
      </c>
      <c r="Y10" s="142" t="inlineStr">
        <is>
          <t xml:space="preserve">  Số :</t>
        </is>
      </c>
      <c r="Z10" s="143" t="n"/>
      <c r="AA10" s="144" t="inlineStr">
        <is>
          <t>461043000383</t>
        </is>
      </c>
      <c r="AB10" s="143" t="n"/>
      <c r="AC10" s="143" t="n"/>
      <c r="AD10" s="145" t="n"/>
      <c r="AE10" s="138" t="inlineStr">
        <is>
          <t xml:space="preserve"> Số:</t>
        </is>
      </c>
      <c r="AF10" s="146">
        <f>INVOICE!#REF!</f>
        <v/>
      </c>
      <c r="AI10" s="147" t="n"/>
    </row>
    <row r="11" ht="12" customHeight="1">
      <c r="A11" s="140" t="n"/>
      <c r="B11" s="148" t="inlineStr">
        <is>
          <t>WANEK FURNITURE CO., LTD</t>
        </is>
      </c>
      <c r="C11" s="95" t="n"/>
      <c r="D11" s="95" t="n"/>
      <c r="E11" s="95" t="n"/>
      <c r="F11" s="95" t="n"/>
      <c r="G11" s="95" t="n"/>
      <c r="H11" s="95" t="n"/>
      <c r="I11" s="95" t="n"/>
      <c r="J11" s="95" t="n"/>
      <c r="K11" s="95" t="n"/>
      <c r="L11" s="95" t="n"/>
      <c r="M11" s="95" t="n"/>
      <c r="N11" s="95" t="n"/>
      <c r="O11" s="95" t="n"/>
      <c r="P11" s="95" t="n"/>
      <c r="Q11" s="95" t="n"/>
      <c r="R11" s="96" t="n"/>
      <c r="S11" s="95" t="n"/>
      <c r="T11" s="95" t="inlineStr">
        <is>
          <t>SXXK</t>
        </is>
      </c>
      <c r="U11" s="95" t="n"/>
      <c r="V11" s="95" t="n"/>
      <c r="W11" s="95" t="inlineStr">
        <is>
          <t>NTX</t>
        </is>
      </c>
      <c r="X11" s="96" t="n"/>
      <c r="Y11" s="138" t="inlineStr">
        <is>
          <t>Ngày:</t>
        </is>
      </c>
      <c r="AA11" s="149" t="inlineStr">
        <is>
          <t>19/06/2008</t>
        </is>
      </c>
      <c r="AD11" s="96" t="n"/>
      <c r="AE11" s="95" t="inlineStr">
        <is>
          <t xml:space="preserve"> Ngày :</t>
        </is>
      </c>
      <c r="AF11" s="95" t="n"/>
      <c r="AG11" s="150" t="n">
        <v>40315</v>
      </c>
      <c r="AI11" s="147" t="n"/>
    </row>
    <row r="12" ht="15.75" customHeight="1">
      <c r="A12" s="140" t="n"/>
      <c r="B12" s="151" t="inlineStr">
        <is>
          <t>Ấp Tân Long, xã Tân Hiệp, huyện Tân Uyên, tỉnh Bình Dương</t>
        </is>
      </c>
      <c r="C12" s="95" t="n"/>
      <c r="D12" s="95" t="n"/>
      <c r="E12" s="95" t="n"/>
      <c r="F12" s="95" t="n"/>
      <c r="G12" s="95" t="n"/>
      <c r="H12" s="95" t="n"/>
      <c r="I12" s="95" t="n"/>
      <c r="J12" s="95" t="n"/>
      <c r="K12" s="95" t="n"/>
      <c r="L12" s="95" t="n"/>
      <c r="M12" s="95" t="n"/>
      <c r="N12" s="95" t="n"/>
      <c r="O12" s="95" t="n"/>
      <c r="P12" s="95" t="n"/>
      <c r="Q12" s="95" t="n"/>
      <c r="R12" s="96" t="n"/>
      <c r="S12" s="137" t="n"/>
      <c r="T12" s="95" t="inlineStr">
        <is>
          <t>TN</t>
        </is>
      </c>
      <c r="U12" s="95" t="n"/>
      <c r="V12" s="152" t="n"/>
      <c r="X12" s="111" t="n"/>
      <c r="Y12" s="112" t="inlineStr">
        <is>
          <t xml:space="preserve"> Ngày hết hạn:</t>
        </is>
      </c>
      <c r="Z12" s="112" t="n"/>
      <c r="AA12" s="112" t="n"/>
      <c r="AB12" s="95" t="n"/>
      <c r="AC12" s="95" t="n"/>
      <c r="AD12" s="96" t="n"/>
      <c r="AE12" s="95" t="inlineStr">
        <is>
          <t xml:space="preserve"> Ngày hết hạn:</t>
        </is>
      </c>
      <c r="AF12" s="95" t="n"/>
      <c r="AG12" s="95" t="n"/>
      <c r="AH12" s="95" t="n"/>
      <c r="AI12" s="153" t="n"/>
    </row>
    <row r="13" ht="14.25" customHeight="1">
      <c r="A13" s="154" t="inlineStr">
        <is>
          <t>2. Người xuất khẩu</t>
        </is>
      </c>
      <c r="B13" s="155" t="n"/>
      <c r="C13" s="155" t="n"/>
      <c r="D13" s="155" t="n"/>
      <c r="E13" s="156" t="n"/>
      <c r="F13" s="157" t="n"/>
      <c r="G13" s="157" t="n"/>
      <c r="H13" s="157" t="n"/>
      <c r="I13" s="157" t="n"/>
      <c r="J13" s="157" t="n"/>
      <c r="K13" s="157" t="n"/>
      <c r="L13" s="157" t="n"/>
      <c r="M13" s="157" t="n"/>
      <c r="N13" s="157" t="n"/>
      <c r="O13" s="157" t="n"/>
      <c r="P13" s="157" t="n"/>
      <c r="Q13" s="157" t="n"/>
      <c r="R13" s="157" t="n"/>
      <c r="S13" s="158" t="inlineStr">
        <is>
          <t>8. Hoá đơn thương mại</t>
        </is>
      </c>
      <c r="T13" s="159" t="n"/>
      <c r="U13" s="159" t="n"/>
      <c r="V13" s="159" t="n"/>
      <c r="W13" s="159" t="n"/>
      <c r="X13" s="160" t="n"/>
      <c r="Y13" s="161" t="inlineStr">
        <is>
          <t xml:space="preserve"> 9. Phương tiện vận tải</t>
        </is>
      </c>
      <c r="Z13" s="159" t="n"/>
      <c r="AA13" s="159" t="n"/>
      <c r="AB13" s="159" t="n"/>
      <c r="AC13" s="159" t="n"/>
      <c r="AD13" s="160" t="n"/>
      <c r="AE13" s="162" t="inlineStr">
        <is>
          <t xml:space="preserve"> 10.Vận tải đơn</t>
        </is>
      </c>
      <c r="AF13" s="159" t="n"/>
      <c r="AG13" s="159" t="n"/>
      <c r="AH13" s="159" t="n"/>
      <c r="AI13" s="126" t="n"/>
    </row>
    <row r="14" ht="3.75" customHeight="1">
      <c r="A14" s="135" t="n"/>
      <c r="B14" s="101" t="n"/>
      <c r="C14" s="101" t="n"/>
      <c r="D14" s="101" t="n"/>
      <c r="E14" s="101" t="n"/>
      <c r="F14" s="163" t="n"/>
      <c r="G14" s="163" t="n"/>
      <c r="H14" s="163" t="n"/>
      <c r="I14" s="163" t="n"/>
      <c r="J14" s="163" t="n"/>
      <c r="K14" s="163" t="n"/>
      <c r="L14" s="163" t="n"/>
      <c r="M14" s="163" t="n"/>
      <c r="N14" s="163" t="n"/>
      <c r="O14" s="163" t="n"/>
      <c r="P14" s="163" t="n"/>
      <c r="Q14" s="163" t="n"/>
      <c r="R14" s="163" t="n"/>
      <c r="S14" s="164" t="n"/>
      <c r="X14" s="111" t="n"/>
      <c r="Y14" s="108" t="n"/>
      <c r="Z14" s="165" t="n"/>
      <c r="AA14" s="165" t="n"/>
      <c r="AB14" s="165" t="n"/>
      <c r="AC14" s="166" t="n"/>
      <c r="AD14" s="111" t="n"/>
      <c r="AE14" s="108" t="n"/>
      <c r="AF14" s="165" t="n"/>
      <c r="AG14" s="165" t="n"/>
      <c r="AH14" s="165" t="n"/>
      <c r="AI14" s="126" t="n"/>
    </row>
    <row r="15" ht="15.75" customHeight="1">
      <c r="A15" s="140" t="n"/>
      <c r="B15" s="148">
        <f>INVOICE!A1</f>
        <v/>
      </c>
      <c r="C15" s="95" t="n"/>
      <c r="D15" s="95" t="n"/>
      <c r="E15" s="95" t="n"/>
      <c r="F15" s="95" t="n"/>
      <c r="G15" s="95" t="n"/>
      <c r="H15" s="95" t="n"/>
      <c r="I15" s="95" t="n"/>
      <c r="J15" s="95" t="n"/>
      <c r="K15" s="95" t="n"/>
      <c r="L15" s="95" t="n"/>
      <c r="M15" s="95" t="n"/>
      <c r="N15" s="95" t="n"/>
      <c r="O15" s="95" t="n"/>
      <c r="P15" s="95" t="n"/>
      <c r="Q15" s="95" t="n"/>
      <c r="R15" s="96" t="n"/>
      <c r="S15" s="95" t="inlineStr">
        <is>
          <t>Số :</t>
        </is>
      </c>
      <c r="T15" s="95" t="n"/>
      <c r="U15" s="167" t="n"/>
      <c r="X15" s="111" t="n"/>
      <c r="Y15" s="108" t="inlineStr">
        <is>
          <t>Tên, số hiệu:</t>
        </is>
      </c>
      <c r="AD15" s="111" t="n"/>
      <c r="AE15" s="168" t="inlineStr">
        <is>
          <t>Số:</t>
        </is>
      </c>
      <c r="AF15" s="169" t="inlineStr">
        <is>
          <t>KAOHCM1005047</t>
        </is>
      </c>
      <c r="AI15" s="147" t="n"/>
    </row>
    <row r="16" ht="15.75" customHeight="1">
      <c r="A16" s="140" t="n"/>
      <c r="B16" s="170">
        <f>INVOICE!A2</f>
        <v/>
      </c>
      <c r="C16" s="95" t="n"/>
      <c r="D16" s="95" t="n"/>
      <c r="E16" s="95" t="n"/>
      <c r="F16" s="95" t="n"/>
      <c r="G16" s="95" t="n"/>
      <c r="H16" s="95" t="n"/>
      <c r="I16" s="95" t="n"/>
      <c r="J16" s="95" t="n"/>
      <c r="K16" s="95" t="n"/>
      <c r="L16" s="95" t="n"/>
      <c r="M16" s="95" t="n"/>
      <c r="N16" s="95" t="n"/>
      <c r="O16" s="95" t="n"/>
      <c r="P16" s="95" t="n"/>
      <c r="Q16" s="95" t="n"/>
      <c r="R16" s="96" t="n"/>
      <c r="S16" s="171">
        <f>INVOICE!B10</f>
        <v/>
      </c>
      <c r="X16" s="111" t="n"/>
      <c r="Y16" s="172">
        <f>INVOICE!B18</f>
        <v/>
      </c>
      <c r="AD16" s="111" t="n"/>
      <c r="AE16" s="173" t="n"/>
      <c r="AF16" s="101" t="n"/>
      <c r="AG16" s="101" t="n"/>
      <c r="AH16" s="101" t="n"/>
      <c r="AI16" s="174" t="n"/>
    </row>
    <row r="17" ht="15.75" customHeight="1">
      <c r="A17" s="175" t="n"/>
      <c r="B17" s="122" t="n"/>
      <c r="C17" s="122" t="n"/>
      <c r="D17" s="122" t="n"/>
      <c r="E17" s="95" t="n"/>
      <c r="F17" s="95" t="n"/>
      <c r="G17" s="95" t="n"/>
      <c r="H17" s="95" t="n"/>
      <c r="I17" s="95" t="n"/>
      <c r="J17" s="95" t="n"/>
      <c r="K17" s="95" t="n"/>
      <c r="L17" s="95" t="n"/>
      <c r="M17" s="95" t="n"/>
      <c r="N17" s="95" t="n"/>
      <c r="O17" s="95" t="n"/>
      <c r="P17" s="95" t="n"/>
      <c r="Q17" s="95" t="n"/>
      <c r="R17" s="96" t="n"/>
      <c r="S17" s="122" t="inlineStr">
        <is>
          <t>Ngày:</t>
        </is>
      </c>
      <c r="T17" s="122" t="n"/>
      <c r="U17" s="176">
        <f>INVOICE!#REF!</f>
        <v/>
      </c>
      <c r="V17" s="116" t="n"/>
      <c r="W17" s="116" t="n"/>
      <c r="X17" s="117" t="n"/>
      <c r="Y17" s="177" t="inlineStr">
        <is>
          <t>Ngày đến:</t>
        </is>
      </c>
      <c r="Z17" s="116" t="n"/>
      <c r="AA17" s="116" t="n"/>
      <c r="AB17" s="178" t="n">
        <v>40333</v>
      </c>
      <c r="AC17" s="116" t="n"/>
      <c r="AD17" s="117" t="n"/>
      <c r="AE17" s="179" t="inlineStr">
        <is>
          <t xml:space="preserve"> Ngày:</t>
        </is>
      </c>
      <c r="AF17" s="116" t="n"/>
      <c r="AG17" s="180" t="n">
        <v>40328</v>
      </c>
      <c r="AH17" s="116" t="n"/>
      <c r="AI17" s="181" t="n"/>
    </row>
    <row r="18" ht="16.35" customHeight="1">
      <c r="A18" s="127" t="inlineStr">
        <is>
          <t>3. Người ủy thác</t>
        </is>
      </c>
      <c r="B18" s="182" t="n"/>
      <c r="C18" s="182" t="n"/>
      <c r="D18" s="182" t="n"/>
      <c r="E18" s="155" t="n"/>
      <c r="F18" s="157" t="n"/>
      <c r="G18" s="157" t="n"/>
      <c r="H18" s="157" t="n"/>
      <c r="I18" s="157" t="n"/>
      <c r="J18" s="157" t="n"/>
      <c r="K18" s="157" t="n"/>
      <c r="L18" s="157" t="n"/>
      <c r="M18" s="157" t="n"/>
      <c r="N18" s="157" t="n"/>
      <c r="O18" s="157" t="n"/>
      <c r="P18" s="157" t="n"/>
      <c r="Q18" s="157" t="n"/>
      <c r="R18" s="157" t="n"/>
      <c r="S18" s="112" t="inlineStr">
        <is>
          <t>11. Nước xuất khẩu:</t>
        </is>
      </c>
      <c r="T18" s="112" t="n"/>
      <c r="U18" s="112" t="n"/>
      <c r="V18" s="112" t="n"/>
      <c r="W18" s="112" t="n"/>
      <c r="X18" s="183" t="n"/>
      <c r="Y18" s="162" t="inlineStr">
        <is>
          <t xml:space="preserve"> 12. Cảng, địa điểm</t>
        </is>
      </c>
      <c r="Z18" s="159" t="n"/>
      <c r="AA18" s="159" t="n"/>
      <c r="AB18" s="159" t="n"/>
      <c r="AC18" s="159" t="n"/>
      <c r="AD18" s="156" t="n"/>
      <c r="AE18" s="184" t="inlineStr">
        <is>
          <t>13. Cảng, địa điểm</t>
        </is>
      </c>
      <c r="AF18" s="159" t="n"/>
      <c r="AG18" s="159" t="n"/>
      <c r="AH18" s="159" t="n"/>
      <c r="AI18" s="185" t="n"/>
    </row>
    <row r="19" ht="3.95" customHeight="1">
      <c r="A19" s="135" t="n"/>
      <c r="B19" s="182" t="n"/>
      <c r="C19" s="182" t="n"/>
      <c r="D19" s="182" t="n"/>
      <c r="E19" s="101" t="n"/>
      <c r="F19" s="163" t="n"/>
      <c r="G19" s="163" t="n"/>
      <c r="H19" s="163" t="n"/>
      <c r="I19" s="163" t="n"/>
      <c r="J19" s="163" t="n"/>
      <c r="K19" s="163" t="n"/>
      <c r="L19" s="163" t="n"/>
      <c r="M19" s="163" t="n"/>
      <c r="N19" s="163" t="n"/>
      <c r="O19" s="163" t="n"/>
      <c r="P19" s="163" t="n"/>
      <c r="Q19" s="163" t="n"/>
      <c r="R19" s="163" t="n"/>
      <c r="S19" s="112" t="n"/>
      <c r="T19" s="112" t="n"/>
      <c r="U19" s="112" t="n"/>
      <c r="V19" s="112" t="n"/>
      <c r="W19" s="112" t="n"/>
      <c r="X19" s="186" t="n"/>
      <c r="Y19" s="187" t="n"/>
      <c r="AB19" s="165" t="n"/>
      <c r="AC19" s="165" t="n"/>
      <c r="AD19" s="102" t="n"/>
      <c r="AE19" s="187" t="n"/>
      <c r="AH19" s="182" t="n"/>
      <c r="AI19" s="126" t="n"/>
    </row>
    <row r="20" ht="12" customHeight="1">
      <c r="A20" s="188" t="n"/>
      <c r="R20" s="111" t="n"/>
      <c r="S20" s="189" t="inlineStr">
        <is>
          <t>CHINA</t>
        </is>
      </c>
      <c r="X20" s="111" t="n"/>
      <c r="Y20" s="187" t="inlineStr">
        <is>
          <t xml:space="preserve"> xếp hàng:</t>
        </is>
      </c>
      <c r="AB20" s="95" t="n"/>
      <c r="AC20" s="95" t="n"/>
      <c r="AD20" s="96" t="n"/>
      <c r="AE20" s="190" t="inlineStr">
        <is>
          <t>dỡ hàng:</t>
        </is>
      </c>
      <c r="AH20" s="191" t="n"/>
      <c r="AI20" s="147" t="n"/>
    </row>
    <row r="21" ht="12.75" customHeight="1">
      <c r="A21" s="192" t="n"/>
      <c r="R21" s="111" t="n"/>
      <c r="S21" s="164" t="n"/>
      <c r="X21" s="111" t="n"/>
      <c r="Y21" s="189">
        <f>INVOICE!B14</f>
        <v/>
      </c>
      <c r="AD21" s="111" t="n"/>
      <c r="AE21" s="193" t="inlineStr">
        <is>
          <t>CÁT LÁI</t>
        </is>
      </c>
      <c r="AI21" s="147" t="n"/>
    </row>
    <row r="22" ht="13.5" customHeight="1">
      <c r="A22" s="192" t="n"/>
      <c r="R22" s="111" t="n"/>
      <c r="S22" s="194" t="n"/>
      <c r="T22" s="122" t="n"/>
      <c r="U22" s="122" t="n"/>
      <c r="V22" s="122" t="n"/>
      <c r="W22" s="195" t="inlineStr">
        <is>
          <t>C</t>
        </is>
      </c>
      <c r="X22" s="195" t="inlineStr">
        <is>
          <t>N</t>
        </is>
      </c>
      <c r="Y22" s="137" t="n"/>
      <c r="Z22" s="95" t="n"/>
      <c r="AA22" s="195" t="n"/>
      <c r="AB22" s="195" t="n"/>
      <c r="AC22" s="195" t="n"/>
      <c r="AD22" s="195" t="n"/>
      <c r="AE22" s="137" t="n"/>
      <c r="AF22" s="195" t="n"/>
      <c r="AG22" s="195" t="n"/>
      <c r="AH22" s="195" t="n"/>
      <c r="AI22" s="196" t="n"/>
    </row>
    <row r="23" ht="12.75" customHeight="1">
      <c r="A23" s="197" t="inlineStr">
        <is>
          <t xml:space="preserve">4.Đại lý làm thủ tục </t>
        </is>
      </c>
      <c r="B23" s="198" t="n"/>
      <c r="C23" s="198" t="n"/>
      <c r="D23" s="198" t="n"/>
      <c r="E23" s="198" t="n"/>
      <c r="F23" s="195" t="n"/>
      <c r="G23" s="195" t="n"/>
      <c r="H23" s="195" t="n"/>
      <c r="I23" s="195" t="n"/>
      <c r="J23" s="195" t="n"/>
      <c r="K23" s="195" t="n"/>
      <c r="L23" s="195" t="n"/>
      <c r="M23" s="195" t="n"/>
      <c r="N23" s="195" t="n"/>
      <c r="O23" s="195" t="n"/>
      <c r="P23" s="195" t="n"/>
      <c r="Q23" s="195" t="n"/>
      <c r="R23" s="195" t="n"/>
      <c r="S23" s="199" t="inlineStr">
        <is>
          <t>14. Điều kiện</t>
        </is>
      </c>
      <c r="T23" s="200" t="n"/>
      <c r="U23" s="200" t="n"/>
      <c r="V23" s="201" t="n"/>
      <c r="W23" s="202" t="n"/>
      <c r="X23" s="112" t="inlineStr">
        <is>
          <t xml:space="preserve">15. Đồng tiền </t>
        </is>
      </c>
      <c r="Y23" s="203" t="n"/>
      <c r="Z23" s="203" t="n"/>
      <c r="AA23" s="112" t="n"/>
      <c r="AB23" s="204" t="inlineStr">
        <is>
          <t>U</t>
        </is>
      </c>
      <c r="AC23" s="204" t="inlineStr">
        <is>
          <t>S</t>
        </is>
      </c>
      <c r="AD23" s="204" t="inlineStr">
        <is>
          <t>D</t>
        </is>
      </c>
      <c r="AE23" s="199" t="inlineStr">
        <is>
          <t>16. Phương thức</t>
        </is>
      </c>
      <c r="AF23" s="201" t="n"/>
      <c r="AG23" s="201" t="n"/>
      <c r="AH23" s="201" t="n"/>
      <c r="AI23" s="126" t="n"/>
    </row>
    <row r="24" ht="12.75" customHeight="1">
      <c r="A24" s="135" t="inlineStr">
        <is>
          <t xml:space="preserve"> hải quan</t>
        </is>
      </c>
      <c r="B24" s="101" t="n"/>
      <c r="C24" s="101" t="n"/>
      <c r="D24" s="101" t="n"/>
      <c r="E24" s="101" t="n"/>
      <c r="F24" s="163" t="n"/>
      <c r="G24" s="163" t="n"/>
      <c r="H24" s="163" t="n"/>
      <c r="I24" s="163" t="n"/>
      <c r="J24" s="163" t="n"/>
      <c r="K24" s="163" t="n"/>
      <c r="L24" s="163" t="n"/>
      <c r="M24" s="163" t="n"/>
      <c r="N24" s="163" t="n"/>
      <c r="O24" s="163" t="n"/>
      <c r="P24" s="163" t="n"/>
      <c r="Q24" s="163" t="n"/>
      <c r="R24" s="163" t="n"/>
      <c r="S24" s="205" t="inlineStr">
        <is>
          <t>giao hàng:</t>
        </is>
      </c>
      <c r="W24" s="111" t="n"/>
      <c r="X24" s="205" t="inlineStr">
        <is>
          <t>thanh toán:</t>
        </is>
      </c>
      <c r="AA24" s="111" t="n"/>
      <c r="AB24" s="163" t="n"/>
      <c r="AC24" s="163" t="n"/>
      <c r="AD24" s="163" t="n"/>
      <c r="AE24" s="168" t="inlineStr">
        <is>
          <t>thanh toán:</t>
        </is>
      </c>
      <c r="AH24" s="206" t="n"/>
      <c r="AI24" s="147" t="n"/>
    </row>
    <row r="25" ht="10.5" customHeight="1">
      <c r="A25" s="188" t="n"/>
      <c r="R25" s="111" t="n"/>
      <c r="S25" s="207" t="inlineStr">
        <is>
          <t>FOB</t>
        </is>
      </c>
      <c r="W25" s="111" t="n"/>
      <c r="X25" s="168" t="n"/>
      <c r="Y25" s="182" t="n"/>
      <c r="Z25" s="182" t="n"/>
      <c r="AA25" s="166" t="inlineStr">
        <is>
          <t>(VNĐ/USD)</t>
        </is>
      </c>
      <c r="AD25" s="111" t="n"/>
      <c r="AE25" s="208" t="inlineStr">
        <is>
          <t>TTR</t>
        </is>
      </c>
      <c r="AI25" s="147" t="n"/>
    </row>
    <row r="26" ht="11.25" customHeight="1">
      <c r="A26" s="192" t="n"/>
      <c r="R26" s="111" t="n"/>
      <c r="S26" s="164" t="n"/>
      <c r="W26" s="111" t="n"/>
      <c r="X26" s="168" t="inlineStr">
        <is>
          <t xml:space="preserve"> Tỷ giá</t>
        </is>
      </c>
      <c r="AA26" s="209" t="n">
        <v>18544</v>
      </c>
      <c r="AD26" s="111" t="n"/>
      <c r="AE26" s="164" t="n"/>
      <c r="AI26" s="147" t="n"/>
    </row>
    <row r="27" ht="13.5" customHeight="1">
      <c r="A27" s="135" t="n"/>
      <c r="B27" s="101" t="n"/>
      <c r="C27" s="101" t="n"/>
      <c r="D27" s="101" t="n"/>
      <c r="E27" s="101" t="n"/>
      <c r="F27" s="101" t="n"/>
      <c r="G27" s="101" t="n"/>
      <c r="H27" s="101" t="n"/>
      <c r="I27" s="101" t="n"/>
      <c r="J27" s="101" t="n"/>
      <c r="K27" s="101" t="n"/>
      <c r="L27" s="101" t="n"/>
      <c r="M27" s="101" t="n"/>
      <c r="N27" s="101" t="n"/>
      <c r="O27" s="101" t="n"/>
      <c r="P27" s="101" t="n"/>
      <c r="Q27" s="101" t="n"/>
      <c r="R27" s="102" t="n"/>
      <c r="S27" s="136" t="n"/>
      <c r="T27" s="116" t="n"/>
      <c r="U27" s="116" t="n"/>
      <c r="V27" s="116" t="n"/>
      <c r="W27" s="117" t="n"/>
      <c r="X27" s="210" t="inlineStr">
        <is>
          <t xml:space="preserve"> tính thuế:</t>
        </is>
      </c>
      <c r="Y27" s="116" t="n"/>
      <c r="Z27" s="116" t="n"/>
      <c r="AA27" s="116" t="n"/>
      <c r="AB27" s="116" t="n"/>
      <c r="AC27" s="116" t="n"/>
      <c r="AD27" s="117" t="n"/>
      <c r="AE27" s="136" t="n"/>
      <c r="AF27" s="116" t="n"/>
      <c r="AG27" s="116" t="n"/>
      <c r="AH27" s="116" t="n"/>
      <c r="AI27" s="181" t="n"/>
    </row>
    <row r="28" ht="15.75" customHeight="1">
      <c r="A28" s="211" t="inlineStr">
        <is>
          <t>Số</t>
        </is>
      </c>
      <c r="B28" s="212" t="inlineStr">
        <is>
          <t>17. TÊN HÀNG</t>
        </is>
      </c>
      <c r="C28" s="159" t="n"/>
      <c r="D28" s="159" t="n"/>
      <c r="E28" s="159" t="n"/>
      <c r="F28" s="159" t="n"/>
      <c r="G28" s="159" t="n"/>
      <c r="H28" s="159" t="n"/>
      <c r="I28" s="159" t="n"/>
      <c r="J28" s="159" t="n"/>
      <c r="K28" s="159" t="n"/>
      <c r="L28" s="159" t="n"/>
      <c r="M28" s="159" t="n"/>
      <c r="N28" s="160" t="n"/>
      <c r="O28" s="213" t="inlineStr">
        <is>
          <t>18. MÃ SỐ</t>
        </is>
      </c>
      <c r="P28" s="159" t="n"/>
      <c r="Q28" s="159" t="n"/>
      <c r="R28" s="160" t="n"/>
      <c r="S28" s="212" t="inlineStr">
        <is>
          <t>19.XUẤT</t>
        </is>
      </c>
      <c r="T28" s="159" t="n"/>
      <c r="U28" s="160" t="n"/>
      <c r="V28" s="212" t="inlineStr">
        <is>
          <t>20. LƯỢNG</t>
        </is>
      </c>
      <c r="W28" s="159" t="n"/>
      <c r="X28" s="160" t="n"/>
      <c r="Y28" s="212" t="inlineStr">
        <is>
          <t xml:space="preserve">21. ĐƠN VỊ </t>
        </is>
      </c>
      <c r="Z28" s="159" t="n"/>
      <c r="AA28" s="160" t="n"/>
      <c r="AB28" s="212" t="inlineStr">
        <is>
          <t>22. ĐƠN GIÁ</t>
        </is>
      </c>
      <c r="AC28" s="159" t="n"/>
      <c r="AD28" s="159" t="n"/>
      <c r="AE28" s="160" t="n"/>
      <c r="AF28" s="214" t="inlineStr">
        <is>
          <t>23. TRỊ GIÁ</t>
        </is>
      </c>
      <c r="AG28" s="159" t="n"/>
      <c r="AH28" s="159" t="n"/>
      <c r="AI28" s="185" t="n"/>
    </row>
    <row r="29" ht="15.75" customHeight="1">
      <c r="A29" s="215" t="inlineStr">
        <is>
          <t>TT</t>
        </is>
      </c>
      <c r="B29" s="216" t="inlineStr">
        <is>
          <t>QUY CÁCH PHẨM CHẤT</t>
        </is>
      </c>
      <c r="C29" s="116" t="n"/>
      <c r="D29" s="116" t="n"/>
      <c r="E29" s="116" t="n"/>
      <c r="F29" s="116" t="n"/>
      <c r="G29" s="116" t="n"/>
      <c r="H29" s="116" t="n"/>
      <c r="I29" s="116" t="n"/>
      <c r="J29" s="116" t="n"/>
      <c r="K29" s="116" t="n"/>
      <c r="L29" s="116" t="n"/>
      <c r="M29" s="116" t="n"/>
      <c r="N29" s="117" t="n"/>
      <c r="O29" s="216" t="inlineStr">
        <is>
          <t>HÀNG HÓA</t>
        </is>
      </c>
      <c r="P29" s="116" t="n"/>
      <c r="Q29" s="116" t="n"/>
      <c r="R29" s="117" t="n"/>
      <c r="S29" s="216" t="inlineStr">
        <is>
          <t>XỨ</t>
        </is>
      </c>
      <c r="T29" s="116" t="n"/>
      <c r="U29" s="117" t="n"/>
      <c r="V29" s="216" t="n"/>
      <c r="W29" s="116" t="n"/>
      <c r="X29" s="117" t="n"/>
      <c r="Y29" s="216" t="inlineStr">
        <is>
          <t>TÍNH</t>
        </is>
      </c>
      <c r="Z29" s="116" t="n"/>
      <c r="AA29" s="117" t="n"/>
      <c r="AB29" s="216" t="inlineStr">
        <is>
          <t>NGUYÊN TỆ</t>
        </is>
      </c>
      <c r="AC29" s="116" t="n"/>
      <c r="AD29" s="116" t="n"/>
      <c r="AE29" s="117" t="n"/>
      <c r="AF29" s="217" t="inlineStr">
        <is>
          <t>NGUYÊN TỆ</t>
        </is>
      </c>
      <c r="AG29" s="116" t="n"/>
      <c r="AH29" s="116" t="n"/>
      <c r="AI29" s="181" t="n"/>
    </row>
    <row r="30" ht="24.95" customHeight="1">
      <c r="A30" s="218" t="n">
        <v>1</v>
      </c>
      <c r="B30" s="219" t="inlineStr">
        <is>
          <t>NPL SẢN XUẤT ĐỒ GỖ NỘI NGOẠI THẤT</t>
        </is>
      </c>
      <c r="C30" s="220" t="n"/>
      <c r="D30" s="220" t="n"/>
      <c r="E30" s="220" t="n"/>
      <c r="F30" s="220" t="n"/>
      <c r="G30" s="220" t="n"/>
      <c r="H30" s="220" t="n"/>
      <c r="I30" s="220" t="n"/>
      <c r="J30" s="220" t="n"/>
      <c r="K30" s="220" t="n"/>
      <c r="L30" s="220" t="n"/>
      <c r="M30" s="220" t="n"/>
      <c r="N30" s="221" t="n"/>
      <c r="O30" s="222" t="n"/>
      <c r="P30" s="220" t="n"/>
      <c r="Q30" s="220" t="n"/>
      <c r="R30" s="221" t="n"/>
      <c r="S30" s="223" t="n"/>
      <c r="T30" s="220" t="n"/>
      <c r="U30" s="221" t="n"/>
      <c r="V30" s="224" t="n"/>
      <c r="W30" s="220" t="n"/>
      <c r="X30" s="221" t="n"/>
      <c r="Y30" s="225" t="n"/>
      <c r="Z30" s="220" t="n"/>
      <c r="AA30" s="221" t="n"/>
      <c r="AB30" s="226" t="n"/>
      <c r="AC30" s="220" t="n"/>
      <c r="AD30" s="220" t="n"/>
      <c r="AE30" s="221" t="n"/>
      <c r="AF30" s="227">
        <f>+AB30*V30</f>
        <v/>
      </c>
      <c r="AG30" s="220" t="n"/>
      <c r="AH30" s="220" t="n"/>
      <c r="AI30" s="228" t="n"/>
    </row>
    <row r="31" ht="24.95" customHeight="1">
      <c r="A31" s="229">
        <f>1+A30</f>
        <v/>
      </c>
      <c r="B31" s="230" t="inlineStr">
        <is>
          <t>Chi tiết theo phụ lục đính kèm</t>
        </is>
      </c>
      <c r="C31" s="231" t="n"/>
      <c r="D31" s="231" t="n"/>
      <c r="E31" s="231" t="n"/>
      <c r="F31" s="231" t="n"/>
      <c r="G31" s="231" t="n"/>
      <c r="H31" s="231" t="n"/>
      <c r="I31" s="231" t="n"/>
      <c r="J31" s="231" t="n"/>
      <c r="K31" s="231" t="n"/>
      <c r="L31" s="231" t="n"/>
      <c r="M31" s="231" t="n"/>
      <c r="N31" s="232" t="n"/>
      <c r="O31" s="233" t="n"/>
      <c r="P31" s="231" t="n"/>
      <c r="Q31" s="231" t="n"/>
      <c r="R31" s="232" t="n"/>
      <c r="S31" s="234" t="n"/>
      <c r="T31" s="231" t="n"/>
      <c r="U31" s="232" t="n"/>
      <c r="V31" s="235" t="n"/>
      <c r="W31" s="231" t="n"/>
      <c r="X31" s="232" t="n"/>
      <c r="Y31" s="236" t="n"/>
      <c r="Z31" s="231" t="n"/>
      <c r="AA31" s="232" t="n"/>
      <c r="AB31" s="237" t="n"/>
      <c r="AC31" s="231" t="n"/>
      <c r="AD31" s="231" t="n"/>
      <c r="AE31" s="232" t="n"/>
      <c r="AF31" s="238" t="n"/>
      <c r="AG31" s="231" t="n"/>
      <c r="AH31" s="231" t="n"/>
      <c r="AI31" s="239" t="n"/>
    </row>
    <row r="32" ht="24.95" customHeight="1">
      <c r="A32" s="240">
        <f>1+A31</f>
        <v/>
      </c>
      <c r="B32" s="230" t="n"/>
      <c r="C32" s="231" t="n"/>
      <c r="D32" s="231" t="n"/>
      <c r="E32" s="231" t="n"/>
      <c r="F32" s="231" t="n"/>
      <c r="G32" s="231" t="n"/>
      <c r="H32" s="231" t="n"/>
      <c r="I32" s="231" t="n"/>
      <c r="J32" s="231" t="n"/>
      <c r="K32" s="231" t="n"/>
      <c r="L32" s="231" t="n"/>
      <c r="M32" s="231" t="n"/>
      <c r="N32" s="232" t="n"/>
      <c r="O32" s="241">
        <f>#REF!</f>
        <v/>
      </c>
      <c r="P32" s="242" t="n"/>
      <c r="Q32" s="242" t="n"/>
      <c r="R32" s="242" t="n"/>
      <c r="S32" s="242" t="n"/>
      <c r="T32" s="242" t="n"/>
      <c r="U32" s="242" t="n"/>
      <c r="V32" s="242" t="n"/>
      <c r="W32" s="242" t="n"/>
      <c r="X32" s="242" t="n"/>
      <c r="Y32" s="242" t="n"/>
      <c r="Z32" s="242" t="n"/>
      <c r="AA32" s="242" t="n"/>
      <c r="AB32" s="242" t="n"/>
      <c r="AC32" s="242" t="n"/>
      <c r="AD32" s="242" t="n"/>
      <c r="AE32" s="243" t="n"/>
      <c r="AF32" s="238" t="n">
        <v>7.89</v>
      </c>
      <c r="AG32" s="231" t="n"/>
      <c r="AH32" s="231" t="n"/>
      <c r="AI32" s="239" t="n"/>
    </row>
    <row r="33" ht="24.95" customHeight="1">
      <c r="A33" s="244" t="inlineStr">
        <is>
          <t>TC:</t>
        </is>
      </c>
      <c r="B33" s="245" t="n"/>
      <c r="C33" s="246" t="n">
        <v>37</v>
      </c>
      <c r="D33" s="245" t="n"/>
      <c r="E33" s="245" t="n"/>
      <c r="F33" s="245" t="n"/>
      <c r="G33" s="247" t="n">
        <v>672</v>
      </c>
      <c r="H33" s="245" t="n"/>
      <c r="I33" s="245" t="n"/>
      <c r="J33" s="245" t="n"/>
      <c r="K33" s="245" t="n"/>
      <c r="L33" s="245" t="n"/>
      <c r="M33" s="245" t="n"/>
      <c r="N33" s="245" t="n"/>
      <c r="O33" s="248" t="inlineStr">
        <is>
          <t xml:space="preserve">Hàng chung TK: </t>
        </is>
      </c>
      <c r="P33" s="249" t="n"/>
      <c r="Q33" s="249" t="n"/>
      <c r="R33" s="249" t="n"/>
      <c r="S33" s="250" t="n"/>
      <c r="T33" s="250" t="n"/>
      <c r="U33" s="250" t="n"/>
      <c r="V33" s="250" t="n"/>
      <c r="W33" s="250" t="n"/>
      <c r="X33" s="250" t="n"/>
      <c r="Y33" s="250" t="n"/>
      <c r="Z33" s="250" t="n"/>
      <c r="AA33" s="250" t="n"/>
      <c r="AB33" s="250" t="n"/>
      <c r="AC33" s="250" t="n"/>
      <c r="AD33" s="251" t="inlineStr">
        <is>
          <t>Cộng:</t>
        </is>
      </c>
      <c r="AE33" s="252" t="n"/>
      <c r="AF33" s="253">
        <f>SUM(AF30:AI32)</f>
        <v/>
      </c>
      <c r="AG33" s="254" t="n"/>
      <c r="AH33" s="254" t="n"/>
      <c r="AI33" s="255" t="n"/>
    </row>
    <row r="34" ht="18.95" customHeight="1">
      <c r="A34" s="256" t="inlineStr">
        <is>
          <t>Số</t>
        </is>
      </c>
      <c r="B34" s="257" t="inlineStr">
        <is>
          <t xml:space="preserve">      24.THUẾ NHẬP KHẨU                   </t>
        </is>
      </c>
      <c r="C34" s="125" t="n"/>
      <c r="D34" s="125" t="n"/>
      <c r="E34" s="125" t="n"/>
      <c r="F34" s="125" t="n"/>
      <c r="G34" s="125" t="n"/>
      <c r="H34" s="125" t="n"/>
      <c r="I34" s="125" t="n"/>
      <c r="J34" s="125" t="n"/>
      <c r="K34" s="125" t="n"/>
      <c r="L34" s="125" t="n"/>
      <c r="M34" s="125" t="n"/>
      <c r="N34" s="258" t="n"/>
      <c r="O34" s="257" t="inlineStr">
        <is>
          <t>25. THUẾ GTGT( HOẶC TTĐB)</t>
        </is>
      </c>
      <c r="P34" s="125" t="n"/>
      <c r="Q34" s="125" t="n"/>
      <c r="R34" s="125" t="n"/>
      <c r="S34" s="125" t="n"/>
      <c r="T34" s="125" t="n"/>
      <c r="U34" s="125" t="n"/>
      <c r="V34" s="125" t="n"/>
      <c r="W34" s="125" t="n"/>
      <c r="X34" s="125" t="n"/>
      <c r="Y34" s="125" t="n"/>
      <c r="Z34" s="125" t="n"/>
      <c r="AA34" s="125" t="n"/>
      <c r="AB34" s="125" t="n"/>
      <c r="AC34" s="258" t="n"/>
      <c r="AD34" s="259" t="inlineStr">
        <is>
          <t>26. THU KHÁC</t>
        </is>
      </c>
      <c r="AE34" s="125" t="n"/>
      <c r="AF34" s="125" t="n"/>
      <c r="AG34" s="125" t="n"/>
      <c r="AH34" s="125" t="n"/>
      <c r="AI34" s="260" t="n"/>
    </row>
    <row r="35" ht="22.5" customHeight="1">
      <c r="A35" s="261" t="inlineStr">
        <is>
          <t>TT</t>
        </is>
      </c>
      <c r="B35" s="262" t="inlineStr">
        <is>
          <t>Trị giá tính thuế</t>
        </is>
      </c>
      <c r="C35" s="125" t="n"/>
      <c r="D35" s="125" t="n"/>
      <c r="E35" s="125" t="n"/>
      <c r="F35" s="258" t="n"/>
      <c r="G35" s="262" t="inlineStr">
        <is>
          <t>Thuế suất(%)</t>
        </is>
      </c>
      <c r="H35" s="125" t="n"/>
      <c r="I35" s="258" t="n"/>
      <c r="J35" s="262" t="inlineStr">
        <is>
          <t>Tiền thuế</t>
        </is>
      </c>
      <c r="K35" s="125" t="n"/>
      <c r="L35" s="125" t="n"/>
      <c r="M35" s="125" t="n"/>
      <c r="N35" s="258" t="n"/>
      <c r="O35" s="157" t="inlineStr">
        <is>
          <t>Trị giá tinh thuế</t>
        </is>
      </c>
      <c r="P35" s="125" t="n"/>
      <c r="Q35" s="125" t="n"/>
      <c r="R35" s="125" t="n"/>
      <c r="S35" s="125" t="n"/>
      <c r="T35" s="258" t="n"/>
      <c r="U35" s="262" t="inlineStr">
        <is>
          <t>Thuế suất(%)</t>
        </is>
      </c>
      <c r="V35" s="125" t="n"/>
      <c r="W35" s="258" t="n"/>
      <c r="X35" s="262" t="inlineStr">
        <is>
          <t>Tiền thuế</t>
        </is>
      </c>
      <c r="Y35" s="125" t="n"/>
      <c r="Z35" s="125" t="n"/>
      <c r="AA35" s="125" t="n"/>
      <c r="AB35" s="125" t="n"/>
      <c r="AC35" s="258" t="n"/>
      <c r="AD35" s="262" t="inlineStr">
        <is>
          <t>Tỷ lệ( %)</t>
        </is>
      </c>
      <c r="AE35" s="125" t="n"/>
      <c r="AF35" s="258" t="n"/>
      <c r="AG35" s="263" t="inlineStr">
        <is>
          <t>Số tiền</t>
        </is>
      </c>
      <c r="AH35" s="125" t="n"/>
      <c r="AI35" s="260" t="n"/>
    </row>
    <row r="36" ht="17.1" customHeight="1">
      <c r="A36" s="218" t="n">
        <v>1</v>
      </c>
      <c r="B36" s="264" t="n">
        <v>39054129.2858</v>
      </c>
      <c r="C36" s="220" t="n"/>
      <c r="D36" s="220" t="n"/>
      <c r="E36" s="220" t="n"/>
      <c r="F36" s="221" t="n"/>
      <c r="G36" s="265" t="n">
        <v>0.03</v>
      </c>
      <c r="H36" s="220" t="n"/>
      <c r="I36" s="221" t="n"/>
      <c r="J36" s="264">
        <f>+G36*B36</f>
        <v/>
      </c>
      <c r="K36" s="220" t="n"/>
      <c r="L36" s="220" t="n"/>
      <c r="M36" s="220" t="n"/>
      <c r="N36" s="221" t="n"/>
      <c r="O36" s="266" t="inlineStr">
        <is>
          <t xml:space="preserve">Haøng khoâng thuoäc ñoái töôïng chòu thueá GTGT </t>
        </is>
      </c>
      <c r="P36" s="267" t="n"/>
      <c r="Q36" s="267" t="n"/>
      <c r="R36" s="267" t="n"/>
      <c r="S36" s="267" t="n"/>
      <c r="T36" s="268" t="n"/>
      <c r="U36" s="269" t="n"/>
      <c r="V36" s="270" t="n"/>
      <c r="W36" s="271" t="n"/>
      <c r="X36" s="272" t="n"/>
      <c r="Y36" s="267" t="n"/>
      <c r="Z36" s="267" t="n"/>
      <c r="AA36" s="273" t="n"/>
      <c r="AB36" s="273" t="n"/>
      <c r="AC36" s="274" t="n"/>
      <c r="AD36" s="265" t="n"/>
      <c r="AE36" s="220" t="n"/>
      <c r="AF36" s="221" t="n"/>
      <c r="AG36" s="275" t="n"/>
      <c r="AH36" s="220" t="n"/>
      <c r="AI36" s="228" t="n"/>
    </row>
    <row r="37" ht="17.1" customHeight="1">
      <c r="A37" s="229">
        <f>1+A36</f>
        <v/>
      </c>
      <c r="B37" s="264" t="n">
        <v>12088182.8742</v>
      </c>
      <c r="C37" s="220" t="n"/>
      <c r="D37" s="220" t="n"/>
      <c r="E37" s="220" t="n"/>
      <c r="F37" s="221" t="n"/>
      <c r="G37" s="265" t="n">
        <v>0.05</v>
      </c>
      <c r="H37" s="220" t="n"/>
      <c r="I37" s="221" t="n"/>
      <c r="J37" s="264">
        <f>+G37*B37</f>
        <v/>
      </c>
      <c r="K37" s="220" t="n"/>
      <c r="L37" s="220" t="n"/>
      <c r="M37" s="220" t="n"/>
      <c r="N37" s="221" t="n"/>
      <c r="O37" s="276" t="inlineStr">
        <is>
          <t>theo thoâng tö: 129/2008/TT-BTC 26/12/08</t>
        </is>
      </c>
      <c r="P37" s="277" t="n"/>
      <c r="Q37" s="277" t="n"/>
      <c r="R37" s="277" t="n"/>
      <c r="S37" s="277" t="n"/>
      <c r="T37" s="278" t="n"/>
      <c r="U37" s="279" t="n"/>
      <c r="V37" s="280" t="n"/>
      <c r="W37" s="281" t="n"/>
      <c r="X37" s="282" t="n"/>
      <c r="Y37" s="277" t="n"/>
      <c r="Z37" s="277" t="n"/>
      <c r="AA37" s="283" t="n"/>
      <c r="AB37" s="283" t="n"/>
      <c r="AC37" s="284" t="n"/>
      <c r="AD37" s="265" t="n"/>
      <c r="AE37" s="220" t="n"/>
      <c r="AF37" s="221" t="n"/>
      <c r="AG37" s="285" t="n"/>
      <c r="AH37" s="231" t="n"/>
      <c r="AI37" s="239" t="n"/>
    </row>
    <row r="38" ht="17.1" customHeight="1">
      <c r="A38" s="229">
        <f>1+A37</f>
        <v/>
      </c>
      <c r="B38" s="264" t="n"/>
      <c r="C38" s="220" t="n"/>
      <c r="D38" s="220" t="n"/>
      <c r="E38" s="220" t="n"/>
      <c r="F38" s="221" t="n"/>
      <c r="G38" s="286" t="n"/>
      <c r="H38" s="231" t="n"/>
      <c r="I38" s="232" t="n"/>
      <c r="J38" s="264" t="n"/>
      <c r="K38" s="220" t="n"/>
      <c r="L38" s="220" t="n"/>
      <c r="M38" s="220" t="n"/>
      <c r="N38" s="221" t="n"/>
      <c r="O38" s="264" t="n"/>
      <c r="P38" s="220" t="n"/>
      <c r="Q38" s="220" t="n"/>
      <c r="R38" s="220" t="n"/>
      <c r="S38" s="220" t="n"/>
      <c r="T38" s="221" t="n"/>
      <c r="U38" s="265" t="n"/>
      <c r="V38" s="220" t="n"/>
      <c r="W38" s="221" t="n"/>
      <c r="X38" s="264" t="n"/>
      <c r="Y38" s="220" t="n"/>
      <c r="Z38" s="220" t="n"/>
      <c r="AA38" s="220" t="n"/>
      <c r="AB38" s="220" t="n"/>
      <c r="AC38" s="221" t="n"/>
      <c r="AD38" s="265" t="n"/>
      <c r="AE38" s="220" t="n"/>
      <c r="AF38" s="221" t="n"/>
      <c r="AG38" s="285" t="n"/>
      <c r="AH38" s="231" t="n"/>
      <c r="AI38" s="239" t="n"/>
    </row>
    <row r="39" ht="17.1" customHeight="1">
      <c r="A39" s="287" t="n"/>
      <c r="B39" s="288" t="n"/>
      <c r="C39" s="289" t="n"/>
      <c r="D39" s="288" t="n"/>
      <c r="E39" s="289" t="n"/>
      <c r="F39" s="290" t="n"/>
      <c r="G39" s="289" t="n"/>
      <c r="H39" s="288" t="inlineStr">
        <is>
          <t>Cộng:</t>
        </is>
      </c>
      <c r="I39" s="291" t="n"/>
      <c r="J39" s="292">
        <f>SUM(J36:N38)</f>
        <v/>
      </c>
      <c r="K39" s="254" t="n"/>
      <c r="L39" s="254" t="n"/>
      <c r="M39" s="254" t="n"/>
      <c r="N39" s="293" t="n"/>
      <c r="O39" s="289" t="n"/>
      <c r="P39" s="289" t="n"/>
      <c r="Q39" s="289" t="n"/>
      <c r="R39" s="289" t="n"/>
      <c r="S39" s="289" t="n"/>
      <c r="T39" s="290" t="n"/>
      <c r="U39" s="289" t="n"/>
      <c r="V39" s="289" t="n"/>
      <c r="W39" s="291" t="n"/>
      <c r="X39" s="292" t="n"/>
      <c r="Y39" s="254" t="n"/>
      <c r="Z39" s="254" t="n"/>
      <c r="AA39" s="254" t="n"/>
      <c r="AB39" s="254" t="n"/>
      <c r="AC39" s="293" t="n"/>
      <c r="AD39" s="294" t="n"/>
      <c r="AE39" s="254" t="n"/>
      <c r="AF39" s="254" t="n"/>
      <c r="AG39" s="254" t="n"/>
      <c r="AH39" s="254" t="n"/>
      <c r="AI39" s="255" t="n"/>
    </row>
    <row r="40" ht="17.1" customHeight="1">
      <c r="A40" s="135" t="inlineStr">
        <is>
          <t>27. Tổng số tiền thuế và thu khác( ô 24+25+26): Bằng số :</t>
        </is>
      </c>
      <c r="B40" s="295" t="n"/>
      <c r="C40" s="295" t="n"/>
      <c r="D40" s="296" t="n"/>
      <c r="E40" s="295" t="n"/>
      <c r="F40" s="297" t="n"/>
      <c r="G40" s="297" t="n"/>
      <c r="H40" s="297" t="n"/>
      <c r="I40" s="297" t="n"/>
      <c r="J40" s="297" t="n"/>
      <c r="K40" s="297" t="n"/>
      <c r="L40" s="297" t="n"/>
      <c r="M40" s="297" t="n"/>
      <c r="N40" s="297" t="n"/>
      <c r="O40" s="298" t="n"/>
      <c r="P40" s="299">
        <f>+J39+X39</f>
        <v/>
      </c>
      <c r="Q40" s="159" t="n"/>
      <c r="R40" s="159" t="n"/>
      <c r="S40" s="159" t="n"/>
      <c r="T40" s="159" t="n"/>
      <c r="U40" s="159" t="n"/>
      <c r="V40" s="159" t="n"/>
      <c r="W40" s="159" t="n"/>
      <c r="X40" s="298" t="n"/>
      <c r="Y40" s="298" t="n"/>
      <c r="Z40" s="298" t="n"/>
      <c r="AA40" s="298" t="n"/>
      <c r="AB40" s="298" t="n"/>
      <c r="AC40" s="298" t="n"/>
      <c r="AD40" s="298" t="n"/>
      <c r="AE40" s="298" t="n"/>
      <c r="AF40" s="298" t="n"/>
      <c r="AG40" s="298" t="n"/>
      <c r="AH40" s="298" t="n"/>
      <c r="AI40" s="300" t="n"/>
    </row>
    <row r="41" ht="17.1" customHeight="1">
      <c r="A41" s="135" t="inlineStr">
        <is>
          <t>Bằng chữ :</t>
        </is>
      </c>
      <c r="B41" s="295" t="n"/>
      <c r="C41" s="295" t="n"/>
      <c r="D41" s="295" t="n"/>
      <c r="E41" s="301" t="inlineStr">
        <is>
          <t>một triệu bảy trăm bảy mươi sáu ngàn không trăm ba mươi ba đồng</t>
        </is>
      </c>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c r="AA41" s="295" t="n"/>
      <c r="AB41" s="295" t="n"/>
      <c r="AC41" s="295" t="n"/>
      <c r="AD41" s="295" t="n"/>
      <c r="AE41" s="295" t="n"/>
      <c r="AF41" s="295" t="n"/>
      <c r="AG41" s="295" t="n"/>
      <c r="AH41" s="295" t="n"/>
      <c r="AI41" s="302" t="n"/>
    </row>
    <row r="42" ht="18" customHeight="1">
      <c r="A42" s="303" t="inlineStr">
        <is>
          <t xml:space="preserve"> 28. Chứng từ đi kèm:</t>
        </is>
      </c>
      <c r="B42" s="199" t="n"/>
      <c r="C42" s="199" t="n"/>
      <c r="D42" s="199" t="n"/>
      <c r="E42" s="304" t="n"/>
      <c r="F42" s="304" t="n"/>
      <c r="G42" s="304" t="n"/>
      <c r="H42" s="304" t="n"/>
      <c r="I42" s="304" t="inlineStr">
        <is>
          <t>Bản chính</t>
        </is>
      </c>
      <c r="J42" s="304" t="n"/>
      <c r="K42" s="304" t="n"/>
      <c r="L42" s="304" t="n"/>
      <c r="M42" s="304" t="n"/>
      <c r="N42" s="304" t="inlineStr">
        <is>
          <t>Bản sao</t>
        </is>
      </c>
      <c r="O42" s="304" t="n"/>
      <c r="P42" s="305" t="n"/>
      <c r="Q42" s="304" t="n"/>
      <c r="R42" s="306" t="n"/>
      <c r="S42" s="199" t="inlineStr">
        <is>
          <t>29.Tôi xin cam đoan, chịu trách nhiệm trước pháp luật về những nội</t>
        </is>
      </c>
      <c r="T42" s="199" t="n"/>
      <c r="U42" s="199" t="n"/>
      <c r="V42" s="199" t="n"/>
      <c r="W42" s="199" t="n"/>
      <c r="X42" s="131" t="n"/>
      <c r="Y42" s="133" t="n"/>
      <c r="Z42" s="133" t="n"/>
      <c r="AA42" s="133" t="n"/>
      <c r="AB42" s="133" t="n"/>
      <c r="AC42" s="133" t="n"/>
      <c r="AD42" s="133" t="n"/>
      <c r="AE42" s="133" t="n"/>
      <c r="AF42" s="133" t="n"/>
      <c r="AG42" s="133" t="n"/>
      <c r="AH42" s="133" t="n"/>
      <c r="AI42" s="307" t="n"/>
    </row>
    <row r="43" ht="15" customHeight="1">
      <c r="A43" s="308" t="inlineStr">
        <is>
          <t xml:space="preserve"> – Hợp đồng thương mai        :</t>
        </is>
      </c>
      <c r="H43" s="309" t="inlineStr">
        <is>
          <t>:</t>
        </is>
      </c>
      <c r="I43" s="310" t="n"/>
      <c r="J43" s="310" t="n"/>
      <c r="K43" s="310" t="n"/>
      <c r="L43" s="85" t="n"/>
      <c r="M43" s="85" t="n"/>
      <c r="N43" s="310" t="n"/>
      <c r="O43" s="310" t="n">
        <v>1</v>
      </c>
      <c r="P43" s="310" t="n"/>
      <c r="Q43" s="310" t="n"/>
      <c r="R43" s="311" t="n"/>
      <c r="S43" s="95" t="inlineStr">
        <is>
          <t>dung khai báo trên tờ khai này.</t>
        </is>
      </c>
      <c r="T43" s="95" t="n"/>
      <c r="U43" s="95" t="n"/>
      <c r="V43" s="95" t="n"/>
      <c r="W43" s="95" t="n"/>
      <c r="X43" s="95" t="n"/>
      <c r="Y43" s="95" t="n"/>
      <c r="Z43" s="95" t="n"/>
      <c r="AA43" s="95" t="n"/>
      <c r="AB43" s="95" t="n"/>
      <c r="AC43" s="95" t="n"/>
      <c r="AD43" s="95" t="n"/>
      <c r="AE43" s="95" t="n"/>
      <c r="AF43" s="95" t="n"/>
      <c r="AG43" s="95" t="n"/>
      <c r="AH43" s="95" t="n"/>
      <c r="AI43" s="153" t="n"/>
    </row>
    <row r="44" ht="15" customHeight="1">
      <c r="A44" s="312" t="inlineStr">
        <is>
          <t xml:space="preserve"> – Hoá đơn thương mại</t>
        </is>
      </c>
      <c r="H44" s="112" t="inlineStr">
        <is>
          <t>:</t>
        </is>
      </c>
      <c r="I44" s="313" t="n"/>
      <c r="J44" s="313" t="n">
        <v>1</v>
      </c>
      <c r="K44" s="313" t="n"/>
      <c r="L44" s="313" t="n"/>
      <c r="M44" s="85" t="n"/>
      <c r="N44" s="313" t="n"/>
      <c r="O44" s="313" t="n"/>
      <c r="P44" s="313" t="n"/>
      <c r="Q44" s="313" t="n"/>
      <c r="R44" s="311" t="n"/>
      <c r="S44" s="85" t="n"/>
      <c r="T44" s="85" t="n"/>
      <c r="U44" s="85" t="n"/>
      <c r="V44" s="85" t="n"/>
      <c r="W44" s="85" t="inlineStr">
        <is>
          <t>Ngày ……...tháng …… năm 2010</t>
        </is>
      </c>
      <c r="X44" s="85" t="n"/>
      <c r="Y44" s="85" t="n"/>
      <c r="Z44" s="85" t="n"/>
      <c r="AA44" s="85" t="n"/>
      <c r="AB44" s="85" t="n"/>
      <c r="AC44" s="85" t="n"/>
      <c r="AD44" s="85" t="n"/>
      <c r="AE44" s="85" t="n"/>
      <c r="AF44" s="85" t="n"/>
      <c r="AG44" s="85" t="n"/>
      <c r="AH44" s="85" t="n"/>
      <c r="AI44" s="126" t="n"/>
    </row>
    <row r="45" ht="15" customHeight="1">
      <c r="A45" s="308" t="inlineStr">
        <is>
          <t xml:space="preserve"> – Bản kê chi tiết</t>
        </is>
      </c>
      <c r="H45" s="309" t="inlineStr">
        <is>
          <t>:</t>
        </is>
      </c>
      <c r="I45" s="313" t="n"/>
      <c r="J45" s="313" t="n">
        <v>1</v>
      </c>
      <c r="K45" s="313" t="n"/>
      <c r="L45" s="313" t="n"/>
      <c r="M45" s="85" t="n"/>
      <c r="N45" s="313" t="n"/>
      <c r="O45" s="313" t="n"/>
      <c r="P45" s="313" t="n"/>
      <c r="Q45" s="313" t="n"/>
      <c r="R45" s="311" t="n"/>
      <c r="S45" s="85" t="n"/>
      <c r="T45" s="85" t="n"/>
      <c r="U45" s="85" t="n"/>
      <c r="V45" s="85" t="n"/>
      <c r="W45" s="85" t="n"/>
      <c r="X45" s="85" t="n"/>
      <c r="Y45" s="85" t="n"/>
      <c r="Z45" s="85" t="n"/>
      <c r="AA45" s="85" t="n"/>
      <c r="AB45" s="85" t="n"/>
      <c r="AC45" s="85" t="n"/>
      <c r="AD45" s="85" t="n"/>
      <c r="AE45" s="85" t="n"/>
      <c r="AF45" s="85" t="n"/>
      <c r="AG45" s="85" t="n"/>
      <c r="AH45" s="85" t="n"/>
      <c r="AI45" s="126" t="n"/>
    </row>
    <row r="46" ht="15" customHeight="1">
      <c r="A46" s="312" t="inlineStr">
        <is>
          <t xml:space="preserve"> – Vận tải đơn</t>
        </is>
      </c>
      <c r="H46" s="112" t="inlineStr">
        <is>
          <t>:</t>
        </is>
      </c>
      <c r="I46" s="313" t="n"/>
      <c r="J46" s="313" t="n"/>
      <c r="K46" s="313" t="n"/>
      <c r="L46" s="313" t="n"/>
      <c r="M46" s="85" t="n"/>
      <c r="N46" s="313" t="n"/>
      <c r="O46" s="313" t="n">
        <v>1</v>
      </c>
      <c r="P46" s="313" t="n"/>
      <c r="Q46" s="313" t="n"/>
      <c r="R46" s="311" t="n"/>
      <c r="S46" s="85" t="n"/>
      <c r="T46" s="85" t="n"/>
      <c r="U46" s="85" t="n"/>
      <c r="V46" s="85" t="n"/>
      <c r="W46" s="85" t="n"/>
      <c r="X46" s="85" t="n"/>
      <c r="Y46" s="85" t="n"/>
      <c r="Z46" s="85" t="n"/>
      <c r="AA46" s="85" t="n"/>
      <c r="AB46" s="85" t="n"/>
      <c r="AC46" s="85" t="n"/>
      <c r="AD46" s="85" t="n"/>
      <c r="AE46" s="85" t="n"/>
      <c r="AF46" s="85" t="n"/>
      <c r="AG46" s="85" t="n"/>
      <c r="AH46" s="85" t="n"/>
      <c r="AI46" s="126" t="n"/>
    </row>
    <row r="47" ht="15" customHeight="1">
      <c r="A47" s="312" t="inlineStr">
        <is>
          <t xml:space="preserve"> –</t>
        </is>
      </c>
      <c r="H47" s="314" t="inlineStr">
        <is>
          <t>:</t>
        </is>
      </c>
      <c r="I47" s="313" t="n"/>
      <c r="J47" s="313" t="n"/>
      <c r="K47" s="313" t="n"/>
      <c r="L47" s="313" t="n"/>
      <c r="M47" s="85" t="n"/>
      <c r="N47" s="313" t="n"/>
      <c r="O47" s="313" t="n"/>
      <c r="P47" s="313" t="n"/>
      <c r="Q47" s="313" t="n"/>
      <c r="R47" s="311" t="n"/>
      <c r="S47" s="85" t="n"/>
      <c r="T47" s="85" t="n"/>
      <c r="U47" s="85" t="n"/>
      <c r="V47" s="85" t="n"/>
      <c r="W47" s="85" t="n"/>
      <c r="X47" s="85" t="n"/>
      <c r="Y47" s="85" t="n"/>
      <c r="Z47" s="85" t="n"/>
      <c r="AA47" s="85" t="n"/>
      <c r="AB47" s="85" t="n"/>
      <c r="AC47" s="85" t="n"/>
      <c r="AD47" s="85" t="n"/>
      <c r="AE47" s="85" t="n"/>
      <c r="AF47" s="85" t="n"/>
      <c r="AG47" s="85" t="n"/>
      <c r="AH47" s="85" t="n"/>
      <c r="AI47" s="126" t="n"/>
    </row>
    <row r="48" ht="15" customHeight="1">
      <c r="A48" s="312" t="inlineStr">
        <is>
          <t xml:space="preserve"> –</t>
        </is>
      </c>
      <c r="H48" s="314" t="inlineStr">
        <is>
          <t>:</t>
        </is>
      </c>
      <c r="I48" s="313" t="n"/>
      <c r="J48" s="313" t="n"/>
      <c r="K48" s="313" t="n"/>
      <c r="L48" s="313" t="n"/>
      <c r="M48" s="85" t="n"/>
      <c r="N48" s="313" t="n"/>
      <c r="O48" s="313" t="n"/>
      <c r="P48" s="313" t="n"/>
      <c r="Q48" s="313" t="n"/>
      <c r="R48" s="311" t="n"/>
      <c r="S48" s="85" t="n"/>
      <c r="T48" s="85" t="n"/>
      <c r="U48" s="85" t="n"/>
      <c r="V48" s="85" t="n"/>
      <c r="W48" s="85" t="n"/>
      <c r="X48" s="85" t="n"/>
      <c r="Y48" s="85" t="n"/>
      <c r="Z48" s="85" t="n"/>
      <c r="AA48" s="85" t="n"/>
      <c r="AB48" s="85" t="n"/>
      <c r="AC48" s="85" t="n"/>
      <c r="AD48" s="85" t="n"/>
      <c r="AE48" s="85" t="n"/>
      <c r="AF48" s="85" t="n"/>
      <c r="AG48" s="85" t="n"/>
      <c r="AH48" s="85" t="n"/>
      <c r="AI48" s="126" t="n"/>
    </row>
    <row r="49" ht="15" customHeight="1">
      <c r="A49" s="312" t="n"/>
      <c r="H49" s="314" t="n"/>
      <c r="I49" s="313" t="n"/>
      <c r="J49" s="315" t="n">
        <v>1</v>
      </c>
      <c r="K49" s="313" t="n"/>
      <c r="L49" s="313" t="n"/>
      <c r="M49" s="85" t="n"/>
      <c r="N49" s="313" t="n"/>
      <c r="O49" s="313" t="n"/>
      <c r="P49" s="313" t="n"/>
      <c r="Q49" s="313" t="n"/>
      <c r="R49" s="311" t="n"/>
      <c r="S49" s="85" t="n"/>
      <c r="T49" s="85" t="n"/>
      <c r="U49" s="85" t="n"/>
      <c r="V49" s="85" t="n"/>
      <c r="W49" s="85" t="n"/>
      <c r="X49" s="85" t="n"/>
      <c r="Y49" s="85" t="n"/>
      <c r="Z49" s="85" t="n"/>
      <c r="AA49" s="85" t="n"/>
      <c r="AB49" s="85" t="n"/>
      <c r="AC49" s="85" t="n"/>
      <c r="AD49" s="85" t="n"/>
      <c r="AE49" s="85" t="n"/>
      <c r="AF49" s="85" t="n"/>
      <c r="AG49" s="85" t="n"/>
      <c r="AH49" s="85" t="n"/>
      <c r="AI49" s="126" t="n"/>
    </row>
    <row r="50" ht="15.75" customHeight="1">
      <c r="A50" s="316" t="n"/>
      <c r="B50" s="317" t="n"/>
      <c r="C50" s="317" t="n"/>
      <c r="D50" s="317" t="n"/>
      <c r="E50" s="317" t="n"/>
      <c r="F50" s="317" t="n"/>
      <c r="G50" s="317" t="n"/>
      <c r="H50" s="318" t="n"/>
      <c r="I50" s="318" t="n"/>
      <c r="J50" s="318" t="n"/>
      <c r="K50" s="318" t="n"/>
      <c r="L50" s="318" t="n"/>
      <c r="M50" s="318" t="n"/>
      <c r="N50" s="318" t="n"/>
      <c r="O50" s="318" t="n"/>
      <c r="P50" s="318" t="n"/>
      <c r="Q50" s="318" t="n"/>
      <c r="R50" s="319" t="n"/>
      <c r="S50" s="320" t="inlineStr">
        <is>
          <t>(Người khai báo ký tên, đóng dấu, ghi rõ họ tên và chức danh )</t>
        </is>
      </c>
      <c r="T50" s="92" t="n"/>
      <c r="U50" s="92" t="n"/>
      <c r="V50" s="92" t="n"/>
      <c r="W50" s="92" t="n"/>
      <c r="X50" s="92" t="n"/>
      <c r="Y50" s="92" t="n"/>
      <c r="Z50" s="92" t="n"/>
      <c r="AA50" s="92" t="n"/>
      <c r="AB50" s="92" t="n"/>
      <c r="AC50" s="92" t="n"/>
      <c r="AD50" s="92" t="n"/>
      <c r="AE50" s="92" t="n"/>
      <c r="AF50" s="92" t="n"/>
      <c r="AG50" s="92" t="n"/>
      <c r="AH50" s="92" t="n"/>
      <c r="AI50" s="321" t="n"/>
    </row>
    <row r="51" ht="18" customHeight="1"/>
    <row r="52" ht="18.6" customHeight="1"/>
    <row r="53" ht="18.6" customHeight="1"/>
    <row r="54" ht="18.6" customHeight="1"/>
    <row r="55" ht="18.6" customHeight="1"/>
    <row r="56" ht="18.6" customHeight="1"/>
    <row r="57" ht="18.6" customHeight="1"/>
    <row r="58" ht="18.6"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sheetData>
  <mergeCells count="182">
    <mergeCell ref="G38:I38"/>
    <mergeCell ref="S50:AI50"/>
    <mergeCell ref="S20:X21"/>
    <mergeCell ref="R13:R14"/>
    <mergeCell ref="G8:G9"/>
    <mergeCell ref="S25:W27"/>
    <mergeCell ref="AC14:AD15"/>
    <mergeCell ref="Q8:Q9"/>
    <mergeCell ref="AD36:AF36"/>
    <mergeCell ref="Q23:Q24"/>
    <mergeCell ref="F18:F19"/>
    <mergeCell ref="P40:W40"/>
    <mergeCell ref="I18:I19"/>
    <mergeCell ref="AE21:AI21"/>
    <mergeCell ref="P23:P24"/>
    <mergeCell ref="AH20:AI20"/>
    <mergeCell ref="A48:G48"/>
    <mergeCell ref="X35:AC35"/>
    <mergeCell ref="U15:X15"/>
    <mergeCell ref="G18:G19"/>
    <mergeCell ref="Y15:AB15"/>
    <mergeCell ref="A45:G45"/>
    <mergeCell ref="J35:N35"/>
    <mergeCell ref="AE24:AG24"/>
    <mergeCell ref="AB23:AB24"/>
    <mergeCell ref="AE17:AF17"/>
    <mergeCell ref="F13:F14"/>
    <mergeCell ref="H13:H14"/>
    <mergeCell ref="E5:K5"/>
    <mergeCell ref="B31:N31"/>
    <mergeCell ref="F6:L6"/>
    <mergeCell ref="AD37:AF37"/>
    <mergeCell ref="M6:T6"/>
    <mergeCell ref="A33:B33"/>
    <mergeCell ref="B37:F37"/>
    <mergeCell ref="U35:W35"/>
    <mergeCell ref="V12:X12"/>
    <mergeCell ref="M18:M19"/>
    <mergeCell ref="S24:W24"/>
    <mergeCell ref="AG35:AI35"/>
    <mergeCell ref="A25:R26"/>
    <mergeCell ref="A46:G46"/>
    <mergeCell ref="AB31:AE31"/>
    <mergeCell ref="G36:I36"/>
    <mergeCell ref="H8:H9"/>
    <mergeCell ref="AD38:AF38"/>
    <mergeCell ref="J8:J9"/>
    <mergeCell ref="AF15:AI15"/>
    <mergeCell ref="H23:H24"/>
    <mergeCell ref="J23:J24"/>
    <mergeCell ref="Y30:AA30"/>
    <mergeCell ref="AA25:AD25"/>
    <mergeCell ref="J39:N39"/>
    <mergeCell ref="Y20:AA20"/>
    <mergeCell ref="G23:G24"/>
    <mergeCell ref="Y29:AA29"/>
    <mergeCell ref="AF32:AI32"/>
    <mergeCell ref="AG11:AI11"/>
    <mergeCell ref="G37:I37"/>
    <mergeCell ref="N18:N19"/>
    <mergeCell ref="J38:N38"/>
    <mergeCell ref="G13:G14"/>
    <mergeCell ref="O35:T35"/>
    <mergeCell ref="S28:U28"/>
    <mergeCell ref="AH24:AI24"/>
    <mergeCell ref="M5:Q5"/>
    <mergeCell ref="Y31:AA31"/>
    <mergeCell ref="Y16:AD16"/>
    <mergeCell ref="L18:L19"/>
    <mergeCell ref="AE25:AI27"/>
    <mergeCell ref="X38:AC38"/>
    <mergeCell ref="M13:M14"/>
    <mergeCell ref="AG37:AI37"/>
    <mergeCell ref="Y28:AA28"/>
    <mergeCell ref="AB17:AD17"/>
    <mergeCell ref="AC23:AC24"/>
    <mergeCell ref="U6:X6"/>
    <mergeCell ref="A49:G49"/>
    <mergeCell ref="AF33:AI33"/>
    <mergeCell ref="U38:W38"/>
    <mergeCell ref="N13:N14"/>
    <mergeCell ref="P13:P14"/>
    <mergeCell ref="M8:M9"/>
    <mergeCell ref="X27:Z27"/>
    <mergeCell ref="O8:O9"/>
    <mergeCell ref="O29:R29"/>
    <mergeCell ref="S13:X14"/>
    <mergeCell ref="M23:M24"/>
    <mergeCell ref="O23:O24"/>
    <mergeCell ref="R23:R24"/>
    <mergeCell ref="O31:R31"/>
    <mergeCell ref="R8:R9"/>
    <mergeCell ref="AF30:AI30"/>
    <mergeCell ref="B29:N29"/>
    <mergeCell ref="V29:X29"/>
    <mergeCell ref="AD34:AI34"/>
    <mergeCell ref="O18:O19"/>
    <mergeCell ref="Y21:AD21"/>
    <mergeCell ref="AG36:AI36"/>
    <mergeCell ref="Y19:AA19"/>
    <mergeCell ref="V31:X31"/>
    <mergeCell ref="AF31:AI31"/>
    <mergeCell ref="T5:X5"/>
    <mergeCell ref="AG17:AI17"/>
    <mergeCell ref="J37:N37"/>
    <mergeCell ref="A43:G43"/>
    <mergeCell ref="Y17:AA17"/>
    <mergeCell ref="AF28:AI28"/>
    <mergeCell ref="AE18:AI18"/>
    <mergeCell ref="AE19:AG19"/>
    <mergeCell ref="F8:F9"/>
    <mergeCell ref="B32:N32"/>
    <mergeCell ref="Y11:Z11"/>
    <mergeCell ref="S30:U30"/>
    <mergeCell ref="X26:Z26"/>
    <mergeCell ref="F23:F24"/>
    <mergeCell ref="O28:R28"/>
    <mergeCell ref="AA26:AD27"/>
    <mergeCell ref="Q4:R4"/>
    <mergeCell ref="O32:AE32"/>
    <mergeCell ref="AA11:AC11"/>
    <mergeCell ref="S29:U29"/>
    <mergeCell ref="A20:R22"/>
    <mergeCell ref="I8:I9"/>
    <mergeCell ref="J18:J19"/>
    <mergeCell ref="K8:K9"/>
    <mergeCell ref="O30:R30"/>
    <mergeCell ref="G33:N33"/>
    <mergeCell ref="I23:I24"/>
    <mergeCell ref="S31:U31"/>
    <mergeCell ref="P18:P19"/>
    <mergeCell ref="X39:AC39"/>
    <mergeCell ref="AG38:AI38"/>
    <mergeCell ref="H18:H19"/>
    <mergeCell ref="AF10:AI10"/>
    <mergeCell ref="O34:AC34"/>
    <mergeCell ref="B36:F36"/>
    <mergeCell ref="B34:N34"/>
    <mergeCell ref="A47:G47"/>
    <mergeCell ref="K18:K19"/>
    <mergeCell ref="B28:N28"/>
    <mergeCell ref="AE13:AH13"/>
    <mergeCell ref="J13:J14"/>
    <mergeCell ref="V28:X28"/>
    <mergeCell ref="L13:L14"/>
    <mergeCell ref="B30:N30"/>
    <mergeCell ref="Q18:Q19"/>
    <mergeCell ref="AD23:AD24"/>
    <mergeCell ref="V30:X30"/>
    <mergeCell ref="AB28:AE28"/>
    <mergeCell ref="A44:G44"/>
    <mergeCell ref="L8:L9"/>
    <mergeCell ref="N8:N9"/>
    <mergeCell ref="AB30:AE30"/>
    <mergeCell ref="AF3:AI3"/>
    <mergeCell ref="P8:P9"/>
    <mergeCell ref="Y13:AD13"/>
    <mergeCell ref="G35:I35"/>
    <mergeCell ref="C33:F33"/>
    <mergeCell ref="J36:N36"/>
    <mergeCell ref="L23:L24"/>
    <mergeCell ref="N23:N24"/>
    <mergeCell ref="AB29:AE29"/>
    <mergeCell ref="O38:T38"/>
    <mergeCell ref="B38:F38"/>
    <mergeCell ref="K23:K24"/>
    <mergeCell ref="R18:R19"/>
    <mergeCell ref="I13:I14"/>
    <mergeCell ref="K13:K14"/>
    <mergeCell ref="AF29:AI29"/>
    <mergeCell ref="U17:X17"/>
    <mergeCell ref="AE20:AG20"/>
    <mergeCell ref="S16:X16"/>
    <mergeCell ref="AD39:AI39"/>
    <mergeCell ref="Y18:AC18"/>
    <mergeCell ref="A7:AH7"/>
    <mergeCell ref="O13:O14"/>
    <mergeCell ref="Q13:Q14"/>
    <mergeCell ref="J3:Z3"/>
    <mergeCell ref="X24:AA24"/>
    <mergeCell ref="AD35:AF35"/>
    <mergeCell ref="B35:F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48"/>
  <sheetViews>
    <sheetView workbookViewId="0">
      <selection activeCell="A1" sqref="A1"/>
    </sheetView>
  </sheetViews>
  <sheetFormatPr baseColWidth="8" defaultRowHeight="15"/>
  <cols>
    <col width="4.125" customWidth="1" min="1" max="1"/>
    <col width="2.5" customWidth="1" min="2" max="2"/>
    <col width="5.75" customWidth="1" min="4" max="4"/>
    <col width="5" customWidth="1" min="5" max="5"/>
    <col width="4.75" customWidth="1" min="9" max="9"/>
    <col width="4.25" customWidth="1" min="14" max="14"/>
    <col width="3.75" customWidth="1" min="15" max="15"/>
    <col width="5" customWidth="1" min="16" max="16"/>
    <col width="3.875" customWidth="1" min="18" max="18"/>
    <col width="2.75" customWidth="1" min="19" max="19"/>
    <col width="2.25" customWidth="1" min="20" max="20"/>
    <col width="9.875" customWidth="1" min="21" max="21"/>
    <col hidden="1" width="12.875" customWidth="1" min="22" max="22"/>
    <col hidden="1" width="5" customWidth="1" min="23" max="23"/>
    <col width="5" customWidth="1" min="24" max="24"/>
  </cols>
  <sheetData>
    <row r="1" ht="11.25" customHeight="1"/>
    <row r="2" ht="13.5" customHeight="1"/>
    <row r="3" ht="13.5" customHeight="1"/>
    <row r="4" ht="11.25" customHeight="1"/>
    <row r="5" ht="15.75" customHeight="1">
      <c r="M5" s="322" t="inlineStr">
        <is>
          <t>ÑT/SXX/I43H</t>
        </is>
      </c>
      <c r="N5" s="323" t="n"/>
      <c r="O5" s="323" t="n"/>
    </row>
    <row r="6" ht="15" customHeight="1">
      <c r="E6" s="324" t="inlineStr">
        <is>
          <t xml:space="preserve">            Bình Döông</t>
        </is>
      </c>
      <c r="M6" s="325" t="n"/>
      <c r="N6" s="326" t="n"/>
      <c r="O6" s="327" t="n"/>
    </row>
    <row r="7" ht="15.75" customHeight="1">
      <c r="F7" s="324" t="inlineStr">
        <is>
          <t>Soùng Thaàn</t>
        </is>
      </c>
      <c r="M7" s="328" t="n"/>
    </row>
    <row r="8"/>
    <row r="9" ht="23.25" customHeight="1"/>
    <row r="10" ht="16.5" customHeight="1">
      <c r="E10" s="329" t="inlineStr">
        <is>
          <t xml:space="preserve">        3     7     0     0    9    3    7    2    4    1     </t>
        </is>
      </c>
    </row>
    <row r="11" ht="15" customHeight="1">
      <c r="B11" s="330" t="inlineStr">
        <is>
          <t>C.TY</t>
        </is>
      </c>
      <c r="C11" s="330" t="n"/>
      <c r="D11" s="331" t="inlineStr">
        <is>
          <t>TNHH KYÕ NGHEÄ GOÃ HOA NEÙT</t>
        </is>
      </c>
      <c r="P11" s="332" t="inlineStr">
        <is>
          <t>461043000383</t>
        </is>
      </c>
      <c r="S11" s="333">
        <f>INVOICE!#REF!</f>
        <v/>
      </c>
    </row>
    <row r="12" ht="15" customHeight="1">
      <c r="B12" s="334" t="inlineStr">
        <is>
          <t>Aáp Taân Long, Xaõ Taân Hieäp  , Huyeän Taân Uyeân, Bình Döông</t>
        </is>
      </c>
      <c r="C12" s="334" t="n"/>
      <c r="D12" s="334" t="n"/>
      <c r="E12" s="334" t="n"/>
      <c r="F12" s="334" t="n"/>
      <c r="G12" s="334" t="n"/>
      <c r="H12" s="334" t="n"/>
      <c r="I12" s="334" t="n"/>
      <c r="J12" s="334" t="n"/>
      <c r="P12" s="335" t="n"/>
      <c r="Q12" s="336" t="inlineStr">
        <is>
          <t>19/06/2008</t>
        </is>
      </c>
      <c r="S12" s="335" t="n"/>
      <c r="T12" s="337" t="inlineStr">
        <is>
          <t>23/07/2014</t>
        </is>
      </c>
    </row>
    <row r="13" ht="17.25" customHeight="1">
      <c r="B13" s="327" t="inlineStr">
        <is>
          <t>(WANEK FURNITURE CO.,LTD)</t>
        </is>
      </c>
      <c r="C13" s="335" t="n"/>
      <c r="D13" s="335" t="n"/>
      <c r="E13" s="335" t="n"/>
      <c r="F13" s="335" t="n"/>
      <c r="G13" s="335" t="n"/>
      <c r="H13" s="335" t="n"/>
      <c r="I13" s="335" t="n"/>
      <c r="J13" s="334" t="n"/>
      <c r="P13" s="334" t="n"/>
      <c r="Q13" s="338" t="n"/>
      <c r="S13" s="335" t="n"/>
      <c r="T13" s="338" t="n"/>
    </row>
    <row r="14" ht="17.25" customHeight="1"/>
    <row r="15" ht="15" customHeight="1">
      <c r="B15" s="330">
        <f>INVOICE!A1</f>
        <v/>
      </c>
      <c r="C15" s="331" t="n"/>
      <c r="M15" s="334" t="n"/>
      <c r="N15" s="334" t="n"/>
      <c r="P15" s="339">
        <f>INVOICE!B18</f>
        <v/>
      </c>
      <c r="S15" s="340" t="inlineStr">
        <is>
          <t>BGNL59406189</t>
        </is>
      </c>
    </row>
    <row r="16" ht="15" customHeight="1">
      <c r="B16" s="341">
        <f>INVOICE!A2</f>
        <v/>
      </c>
      <c r="M16" s="342">
        <f>INVOICE!B10</f>
        <v/>
      </c>
      <c r="S16" s="340" t="n"/>
      <c r="T16" s="340" t="n"/>
      <c r="U16" s="337" t="inlineStr">
        <is>
          <t>16/08/2014</t>
        </is>
      </c>
    </row>
    <row r="17" ht="15" customHeight="1">
      <c r="M17" s="343" t="inlineStr">
        <is>
          <t>10/08/2014</t>
        </is>
      </c>
      <c r="Q17" s="337">
        <f>+U16+5</f>
        <v/>
      </c>
      <c r="T17" s="344" t="n"/>
      <c r="U17" s="338" t="n"/>
    </row>
    <row r="18" ht="15" customHeight="1">
      <c r="B18" s="334" t="n"/>
      <c r="C18" s="334" t="n"/>
      <c r="D18" s="334" t="n"/>
      <c r="E18" s="334" t="n"/>
      <c r="F18" s="334" t="n"/>
      <c r="G18" s="334" t="n"/>
      <c r="H18" s="334" t="n"/>
      <c r="I18" s="334" t="n"/>
      <c r="J18" s="334" t="n"/>
    </row>
    <row r="19"/>
    <row r="20" ht="15" customHeight="1">
      <c r="M20" s="345" t="inlineStr">
        <is>
          <t>CHINA</t>
        </is>
      </c>
      <c r="P20" s="346" t="inlineStr">
        <is>
          <t>SHANGHAI</t>
        </is>
      </c>
      <c r="T20" s="347" t="inlineStr">
        <is>
          <t>KV I 
(CAÙT LAÙI)</t>
        </is>
      </c>
    </row>
    <row r="21" ht="9.75" customHeight="1"/>
    <row r="22" ht="15" customHeight="1">
      <c r="N22" s="348" t="inlineStr">
        <is>
          <t>C</t>
        </is>
      </c>
      <c r="O22" s="349" t="inlineStr">
        <is>
          <t>N</t>
        </is>
      </c>
      <c r="S22" s="350" t="n"/>
    </row>
    <row r="23" ht="17.25" customHeight="1">
      <c r="E23" s="324" t="n"/>
      <c r="F23" s="324" t="n"/>
      <c r="G23" s="324" t="n"/>
      <c r="H23" s="324" t="n"/>
      <c r="I23" s="324" t="n"/>
      <c r="J23" s="324" t="n"/>
      <c r="Q23" s="345" t="inlineStr">
        <is>
          <t xml:space="preserve">   U    S    D  </t>
        </is>
      </c>
    </row>
    <row r="24" ht="15" customHeight="1">
      <c r="B24" s="331" t="n"/>
      <c r="C24" s="331" t="n"/>
      <c r="R24" s="345" t="n"/>
    </row>
    <row r="25" ht="15" customHeight="1">
      <c r="H25" s="351" t="n"/>
      <c r="M25" s="345" t="inlineStr">
        <is>
          <t>FOB SHANGHAI</t>
        </is>
      </c>
      <c r="N25" s="331" t="n"/>
      <c r="P25" s="352" t="n">
        <v>21246</v>
      </c>
      <c r="S25" s="345" t="inlineStr">
        <is>
          <t>T/T</t>
        </is>
      </c>
    </row>
    <row r="26" ht="17.25" customHeight="1">
      <c r="I26" s="351" t="n"/>
      <c r="M26" s="353" t="inlineStr">
        <is>
          <t>(CHINA)</t>
        </is>
      </c>
    </row>
    <row r="27" ht="22.5" customHeight="1">
      <c r="H27" s="351" t="n"/>
      <c r="Q27" s="354" t="inlineStr">
        <is>
          <t>$/m</t>
        </is>
      </c>
      <c r="R27" s="355" t="inlineStr">
        <is>
          <t>$/m2</t>
        </is>
      </c>
      <c r="V27" s="356">
        <f>#REF!</f>
        <v/>
      </c>
    </row>
    <row r="28" ht="23.45" customHeight="1">
      <c r="B28" s="357" t="inlineStr">
        <is>
          <t>NPL SX ÑOÀ GOÃ NOÄI NGOAÏI THAÁT &amp; ÑOÀ TRANG TRÍ BAÈNG VAÛI</t>
        </is>
      </c>
      <c r="J28" s="358" t="n"/>
      <c r="L28" s="138" t="n"/>
      <c r="N28" s="359" t="n"/>
      <c r="P28" s="360" t="n"/>
      <c r="Q28" s="361" t="n"/>
      <c r="R28" s="362" t="n"/>
      <c r="T28" s="363">
        <f>SUM(PLSX!R9:S20)</f>
        <v/>
      </c>
      <c r="V28" s="364" t="n"/>
    </row>
    <row r="29" ht="23.45" customHeight="1">
      <c r="B29" s="365" t="inlineStr">
        <is>
          <t>Chi tiết theo phụ lục đính kèm</t>
        </is>
      </c>
      <c r="J29" s="358" t="n"/>
      <c r="L29" s="138" t="n"/>
      <c r="N29" s="359" t="n"/>
      <c r="P29" s="360" t="n"/>
      <c r="Q29" s="361" t="n"/>
      <c r="R29" s="362" t="n"/>
      <c r="T29" s="363" t="n"/>
      <c r="V29" s="364">
        <f>#REF!</f>
        <v/>
      </c>
    </row>
    <row r="30" ht="23.45" customHeight="1">
      <c r="A30" s="366" t="n"/>
      <c r="B30" s="367" t="n"/>
      <c r="C30" s="367" t="n"/>
      <c r="D30" s="368" t="inlineStr">
        <is>
          <t>hang chung cont, bill</t>
        </is>
      </c>
      <c r="I30" s="369" t="n"/>
      <c r="J30" s="369" t="n"/>
      <c r="K30" s="369" t="n"/>
      <c r="L30" s="370" t="n"/>
      <c r="M30" s="371">
        <f>+PLSX!G31</f>
        <v/>
      </c>
      <c r="O30" s="372">
        <f>+PLSX!K31</f>
        <v/>
      </c>
      <c r="R30" s="370" t="n"/>
      <c r="S30" s="370" t="n"/>
      <c r="T30" s="363">
        <f>PLSX!O31</f>
        <v/>
      </c>
      <c r="V30" s="373">
        <f>SUM(V28:W29)</f>
        <v/>
      </c>
    </row>
    <row r="31" ht="21" customHeight="1">
      <c r="B31" s="374" t="inlineStr">
        <is>
          <t>TC:</t>
        </is>
      </c>
      <c r="D31" s="375">
        <f>'Detail packing list'!F55</f>
        <v/>
      </c>
      <c r="E31" s="376">
        <f>+'Detail packing list'!F20</f>
        <v/>
      </c>
      <c r="F31" s="377">
        <f>'Detail packing list'!B74</f>
        <v/>
      </c>
      <c r="H31" s="378" t="n">
        <v>0</v>
      </c>
      <c r="J31" s="379" t="n"/>
      <c r="L31" s="380" t="n"/>
      <c r="M31" s="381" t="n"/>
      <c r="N31" s="381" t="n"/>
      <c r="O31" s="381" t="n"/>
      <c r="P31" s="381" t="n"/>
      <c r="Q31" s="381" t="n"/>
      <c r="R31" s="324" t="n"/>
      <c r="T31" s="382">
        <f>SUM(T28:U30)</f>
        <v/>
      </c>
      <c r="V31" s="383" t="n"/>
    </row>
    <row r="32" ht="15" customHeight="1">
      <c r="A32" s="384" t="inlineStr">
        <is>
          <t>STT</t>
        </is>
      </c>
      <c r="B32" s="367" t="inlineStr">
        <is>
          <t>Số hiệu container</t>
        </is>
      </c>
      <c r="F32" s="367" t="inlineStr">
        <is>
          <t>Loại container</t>
        </is>
      </c>
      <c r="I32" s="367" t="inlineStr">
        <is>
          <t>Seal No</t>
        </is>
      </c>
      <c r="L32" s="385" t="n"/>
      <c r="O32" s="385" t="n"/>
      <c r="R32" s="386" t="n"/>
      <c r="S32" s="386" t="n"/>
      <c r="V32" s="383" t="n"/>
    </row>
    <row r="33" ht="15" customHeight="1">
      <c r="A33" s="334" t="inlineStr">
        <is>
          <t>1.</t>
        </is>
      </c>
      <c r="B33" s="387">
        <f>+'danh sach cont '!B2</f>
        <v/>
      </c>
      <c r="C33" s="387" t="n"/>
      <c r="D33" s="387" t="n"/>
      <c r="E33" s="387" t="n"/>
      <c r="F33" s="388" t="inlineStr">
        <is>
          <t>Container  40</t>
        </is>
      </c>
      <c r="I33" s="388">
        <f>+'danh sach cont '!C2</f>
        <v/>
      </c>
      <c r="L33" s="389" t="n"/>
      <c r="O33" s="389" t="n"/>
      <c r="R33" s="351" t="n"/>
      <c r="U33" s="390" t="n"/>
      <c r="V33" s="383" t="n"/>
      <c r="W33" s="383" t="n"/>
    </row>
    <row r="34" ht="15" customHeight="1">
      <c r="A34" s="334" t="inlineStr">
        <is>
          <t>2.</t>
        </is>
      </c>
      <c r="B34" s="387">
        <f>+'danh sach cont '!B3</f>
        <v/>
      </c>
      <c r="C34" s="387" t="n"/>
      <c r="D34" s="387" t="n"/>
      <c r="E34" s="387" t="n"/>
      <c r="F34" s="388" t="inlineStr">
        <is>
          <t>Container  40</t>
        </is>
      </c>
      <c r="I34" s="388">
        <f>+'danh sach cont '!C3</f>
        <v/>
      </c>
      <c r="L34" s="389" t="n"/>
      <c r="O34" s="389" t="n"/>
      <c r="R34" s="351" t="n"/>
      <c r="V34" s="383" t="n"/>
      <c r="W34" s="383" t="n"/>
    </row>
    <row r="35" ht="15" customHeight="1">
      <c r="A35" s="334" t="inlineStr">
        <is>
          <t>3.</t>
        </is>
      </c>
      <c r="B35" s="387">
        <f>+'danh sach cont '!B4</f>
        <v/>
      </c>
      <c r="C35" s="387" t="n"/>
      <c r="D35" s="387" t="n"/>
      <c r="E35" s="387" t="n"/>
      <c r="F35" s="388" t="inlineStr">
        <is>
          <t>Container  40</t>
        </is>
      </c>
      <c r="I35" s="388">
        <f>+'danh sach cont '!C4</f>
        <v/>
      </c>
      <c r="L35" s="389" t="n"/>
      <c r="O35" s="389" t="n"/>
      <c r="R35" s="351" t="n"/>
      <c r="V35" s="383" t="n"/>
      <c r="W35" s="383" t="n"/>
    </row>
    <row r="36" ht="15" customHeight="1">
      <c r="A36" s="334" t="inlineStr">
        <is>
          <t>4.</t>
        </is>
      </c>
      <c r="B36" s="387">
        <f>+'danh sach cont '!B5</f>
        <v/>
      </c>
      <c r="C36" s="387" t="n"/>
      <c r="D36" s="387" t="n"/>
      <c r="E36" s="387" t="n"/>
      <c r="F36" s="388" t="inlineStr">
        <is>
          <t>Container  40</t>
        </is>
      </c>
      <c r="I36" s="388">
        <f>+'danh sach cont '!C5</f>
        <v/>
      </c>
      <c r="L36" s="389" t="n"/>
      <c r="O36" s="389" t="n"/>
      <c r="R36" s="351" t="n"/>
      <c r="V36" s="383" t="n"/>
      <c r="W36" s="383" t="n"/>
    </row>
    <row r="37" ht="15" customHeight="1">
      <c r="A37" s="334" t="inlineStr">
        <is>
          <t>5.</t>
        </is>
      </c>
      <c r="B37" s="387">
        <f>+'danh sach cont '!B6</f>
        <v/>
      </c>
      <c r="C37" s="387" t="n"/>
      <c r="D37" s="387" t="n"/>
      <c r="E37" s="387" t="n"/>
      <c r="F37" s="388" t="inlineStr">
        <is>
          <t>Container  40</t>
        </is>
      </c>
      <c r="I37" s="388">
        <f>+'danh sach cont '!C6</f>
        <v/>
      </c>
      <c r="L37" s="389" t="n"/>
      <c r="O37" s="389" t="n"/>
      <c r="R37" s="351" t="n"/>
      <c r="V37" s="383" t="n"/>
      <c r="W37" s="383" t="n"/>
    </row>
    <row r="38" ht="19.5" customHeight="1">
      <c r="A38" s="334" t="inlineStr">
        <is>
          <t>6.</t>
        </is>
      </c>
      <c r="B38" s="387">
        <f>+'danh sach cont '!B7</f>
        <v/>
      </c>
      <c r="C38" s="387" t="n"/>
      <c r="D38" s="387" t="n"/>
      <c r="E38" s="387" t="n"/>
      <c r="F38" s="388" t="inlineStr">
        <is>
          <t>Container  40</t>
        </is>
      </c>
      <c r="I38" s="388">
        <f>+'danh sach cont '!C7</f>
        <v/>
      </c>
      <c r="L38" s="389" t="n"/>
      <c r="O38" s="388" t="n"/>
      <c r="R38" s="351" t="n"/>
      <c r="U38" s="384" t="n"/>
    </row>
    <row r="39" ht="19.5" customHeight="1">
      <c r="A39" s="334" t="inlineStr">
        <is>
          <t>7.</t>
        </is>
      </c>
      <c r="B39" s="387">
        <f>+'danh sach cont '!B8</f>
        <v/>
      </c>
      <c r="C39" s="387" t="n"/>
      <c r="D39" s="387" t="n"/>
      <c r="E39" s="387" t="n"/>
      <c r="F39" s="388" t="inlineStr">
        <is>
          <t>Container  40</t>
        </is>
      </c>
      <c r="I39" s="388">
        <f>+'danh sach cont '!C8</f>
        <v/>
      </c>
      <c r="L39" s="389" t="n"/>
      <c r="O39" s="388" t="n"/>
    </row>
    <row r="40" ht="19.5" customHeight="1">
      <c r="A40" s="334" t="inlineStr">
        <is>
          <t>8</t>
        </is>
      </c>
      <c r="B40" s="387">
        <f>+'danh sach cont '!B9</f>
        <v/>
      </c>
      <c r="C40" s="387" t="n"/>
      <c r="D40" s="387" t="n"/>
      <c r="E40" s="387" t="n"/>
      <c r="F40" s="388" t="inlineStr">
        <is>
          <t>Container  40</t>
        </is>
      </c>
      <c r="I40" s="388">
        <f>+'danh sach cont '!C9</f>
        <v/>
      </c>
      <c r="L40" s="389" t="n"/>
      <c r="O40" s="388" t="n"/>
    </row>
    <row r="41" ht="19.5" customHeight="1">
      <c r="A41" s="334" t="inlineStr">
        <is>
          <t>9</t>
        </is>
      </c>
      <c r="B41" s="387">
        <f>+'danh sach cont '!B10</f>
        <v/>
      </c>
      <c r="C41" s="387" t="n"/>
      <c r="D41" s="387" t="n"/>
      <c r="E41" s="387" t="n"/>
      <c r="F41" s="388" t="inlineStr">
        <is>
          <t>Container  20</t>
        </is>
      </c>
      <c r="I41" s="388">
        <f>+'danh sach cont '!C10</f>
        <v/>
      </c>
      <c r="L41" s="389" t="n"/>
      <c r="O41" s="388" t="n"/>
    </row>
    <row r="42" ht="20.25" customHeight="1">
      <c r="G42" s="391">
        <f>PLSX!F56</f>
        <v/>
      </c>
      <c r="J42" s="392" t="n"/>
      <c r="M42" s="393" t="n"/>
      <c r="N42" s="394" t="n"/>
      <c r="Q42" s="395" t="n"/>
    </row>
    <row r="43" ht="18" customHeight="1">
      <c r="I43" s="396" t="n"/>
      <c r="J43" s="397">
        <f>$G$42+$N$42</f>
        <v/>
      </c>
    </row>
    <row r="44" ht="18" customHeight="1">
      <c r="E44" s="398" t="n"/>
    </row>
    <row r="45" ht="15.75" customHeight="1"/>
    <row r="46" ht="15" customHeight="1">
      <c r="H46" s="399" t="n"/>
      <c r="I46" s="400" t="n"/>
      <c r="J46" s="400" t="n"/>
      <c r="M46" s="401" t="n"/>
      <c r="N46" s="401" t="n"/>
      <c r="O46" s="401" t="n"/>
    </row>
    <row r="47" ht="15" customHeight="1">
      <c r="C47" s="345" t="n"/>
      <c r="H47" s="399" t="n"/>
      <c r="I47" s="400" t="n"/>
      <c r="J47" s="400" t="n"/>
      <c r="R47" s="402" t="n"/>
    </row>
    <row r="48" ht="15" customHeight="1">
      <c r="B48" s="403" t="n"/>
      <c r="C48" s="384" t="inlineStr">
        <is>
          <t>haøng coù baûo hieåm</t>
        </is>
      </c>
      <c r="H48" s="404" t="n"/>
      <c r="I48" s="405" t="n"/>
      <c r="J48" s="405" t="n"/>
    </row>
  </sheetData>
  <mergeCells count="100">
    <mergeCell ref="Q13:R13"/>
    <mergeCell ref="L33:N33"/>
    <mergeCell ref="F36:H36"/>
    <mergeCell ref="F33:H33"/>
    <mergeCell ref="N42:P42"/>
    <mergeCell ref="R36:T36"/>
    <mergeCell ref="R28:S28"/>
    <mergeCell ref="J28:K28"/>
    <mergeCell ref="L35:N35"/>
    <mergeCell ref="L28:M28"/>
    <mergeCell ref="I26:J26"/>
    <mergeCell ref="S15:U15"/>
    <mergeCell ref="V28:W28"/>
    <mergeCell ref="F39:H39"/>
    <mergeCell ref="V30:W30"/>
    <mergeCell ref="T12:U12"/>
    <mergeCell ref="L29:M29"/>
    <mergeCell ref="N29:O29"/>
    <mergeCell ref="I34:K34"/>
    <mergeCell ref="J31:K31"/>
    <mergeCell ref="S25:U25"/>
    <mergeCell ref="R38:T38"/>
    <mergeCell ref="D30:H30"/>
    <mergeCell ref="L32:N32"/>
    <mergeCell ref="G42:I42"/>
    <mergeCell ref="O33:Q33"/>
    <mergeCell ref="I36:K36"/>
    <mergeCell ref="Q17:R17"/>
    <mergeCell ref="O39:Q39"/>
    <mergeCell ref="F7:H7"/>
    <mergeCell ref="M20:O20"/>
    <mergeCell ref="S11:U11"/>
    <mergeCell ref="Q12:R12"/>
    <mergeCell ref="F41:H41"/>
    <mergeCell ref="I37:K37"/>
    <mergeCell ref="F35:H35"/>
    <mergeCell ref="R35:T35"/>
    <mergeCell ref="H25:I25"/>
    <mergeCell ref="C47:D47"/>
    <mergeCell ref="L41:N41"/>
    <mergeCell ref="Q23:R23"/>
    <mergeCell ref="L34:N34"/>
    <mergeCell ref="J43:L43"/>
    <mergeCell ref="M7:N7"/>
    <mergeCell ref="J42:L42"/>
    <mergeCell ref="O38:Q38"/>
    <mergeCell ref="L36:N36"/>
    <mergeCell ref="F31:G31"/>
    <mergeCell ref="N28:O28"/>
    <mergeCell ref="P20:R20"/>
    <mergeCell ref="T31:U31"/>
    <mergeCell ref="L37:N37"/>
    <mergeCell ref="F40:H40"/>
    <mergeCell ref="J29:K29"/>
    <mergeCell ref="P15:R16"/>
    <mergeCell ref="O41:Q41"/>
    <mergeCell ref="R37:T37"/>
    <mergeCell ref="O35:Q35"/>
    <mergeCell ref="T29:U29"/>
    <mergeCell ref="H31:I31"/>
    <mergeCell ref="F38:H38"/>
    <mergeCell ref="I39:K39"/>
    <mergeCell ref="L40:N40"/>
    <mergeCell ref="M17:O17"/>
    <mergeCell ref="R27:S27"/>
    <mergeCell ref="F37:H37"/>
    <mergeCell ref="I38:K38"/>
    <mergeCell ref="B29:I29"/>
    <mergeCell ref="R33:T33"/>
    <mergeCell ref="O37:Q37"/>
    <mergeCell ref="I40:K40"/>
    <mergeCell ref="E10:K10"/>
    <mergeCell ref="F34:H34"/>
    <mergeCell ref="P25:R25"/>
    <mergeCell ref="E6:H6"/>
    <mergeCell ref="T28:U28"/>
    <mergeCell ref="I41:K41"/>
    <mergeCell ref="T30:U30"/>
    <mergeCell ref="P11:R11"/>
    <mergeCell ref="R29:S29"/>
    <mergeCell ref="O32:Q32"/>
    <mergeCell ref="L39:N39"/>
    <mergeCell ref="M16:O16"/>
    <mergeCell ref="B16:J17"/>
    <mergeCell ref="L38:N38"/>
    <mergeCell ref="I33:K33"/>
    <mergeCell ref="V29:W29"/>
    <mergeCell ref="T20:U22"/>
    <mergeCell ref="O40:Q40"/>
    <mergeCell ref="I35:K35"/>
    <mergeCell ref="V31:W31"/>
    <mergeCell ref="M30:N30"/>
    <mergeCell ref="B28:I28"/>
    <mergeCell ref="V32:W32"/>
    <mergeCell ref="O34:Q34"/>
    <mergeCell ref="H27:I27"/>
    <mergeCell ref="T13:U13"/>
    <mergeCell ref="O36:Q36"/>
    <mergeCell ref="O30:Q30"/>
    <mergeCell ref="R34:T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4"/>
  <sheetViews>
    <sheetView workbookViewId="0">
      <selection activeCell="A1" sqref="A1"/>
    </sheetView>
  </sheetViews>
  <sheetFormatPr baseColWidth="8" defaultRowHeight="15"/>
  <cols>
    <col width="6.25" customWidth="1" min="1" max="1"/>
    <col width="3.75" customWidth="1" min="2" max="2"/>
    <col width="5.125" customWidth="1" min="3" max="3"/>
    <col width="5.25" customWidth="1" min="4" max="4"/>
    <col width="8.5" customWidth="1" min="5" max="5"/>
    <col width="4.875" customWidth="1" min="6" max="6"/>
    <col width="4.75" customWidth="1" min="7" max="7"/>
    <col width="0.125" customWidth="1" min="8" max="8"/>
    <col width="5" customWidth="1" min="9" max="9"/>
    <col width="3.25" customWidth="1" min="11" max="11"/>
    <col width="3.75" customWidth="1" min="12" max="12"/>
    <col width="3.875" customWidth="1" min="13" max="13"/>
    <col width="6.125" customWidth="1" min="14" max="14"/>
    <col width="5.125" customWidth="1" min="15" max="15"/>
    <col width="6" customWidth="1" min="16" max="16"/>
    <col width="6.25" customWidth="1" min="17" max="17"/>
    <col width="5" customWidth="1" min="18" max="18"/>
    <col width="7.125" customWidth="1" min="19" max="19"/>
    <col width="5.25" customWidth="1" min="20" max="20"/>
    <col width="7.75" customWidth="1" min="21" max="21"/>
    <col width="20.5" customWidth="1" min="22" max="22"/>
    <col width="9.875" customWidth="1" min="23" max="23"/>
    <col width="13.25" customWidth="1" min="24" max="24"/>
    <col width="7.25" customWidth="1" min="25" max="25"/>
    <col width="5" customWidth="1" min="26" max="26"/>
  </cols>
  <sheetData>
    <row r="1" ht="33.75" customHeight="1"/>
    <row r="2" ht="18.75" customHeight="1">
      <c r="J2" s="406" t="inlineStr">
        <is>
          <t>1/1</t>
        </is>
      </c>
    </row>
    <row r="3" ht="14.25" customHeight="1">
      <c r="K3" s="407" t="n"/>
      <c r="L3" s="408" t="n"/>
      <c r="M3" s="408" t="n"/>
      <c r="N3" s="409" t="n"/>
    </row>
    <row r="4" ht="15" customHeight="1">
      <c r="H4" s="87" t="n"/>
      <c r="L4" s="410" t="inlineStr">
        <is>
          <t>/      /2012</t>
        </is>
      </c>
    </row>
    <row r="5" ht="14.25" customHeight="1">
      <c r="B5" s="411" t="n"/>
    </row>
    <row r="6" ht="14.25" customHeight="1"/>
    <row r="7" ht="18" customHeight="1"/>
    <row r="8" ht="16.5" customHeight="1">
      <c r="B8" s="412" t="n"/>
      <c r="P8" s="413" t="inlineStr">
        <is>
          <t>$/m</t>
        </is>
      </c>
      <c r="Q8" s="413" t="inlineStr">
        <is>
          <t>$/m2</t>
        </is>
      </c>
      <c r="T8" s="414">
        <f>O31/SUM(PLSX!R9:S30)</f>
        <v/>
      </c>
    </row>
    <row r="9" ht="18" customHeight="1">
      <c r="A9" s="415">
        <f>M9*C10</f>
        <v/>
      </c>
      <c r="B9" s="416">
        <f>VLOOKUP(G10,'danh sach NPL'!$C$8:$H$65536,2,0)&amp;" "&amp;'Detail packing list'!B21&amp;" "&amp;'Detail packing list'!C21</f>
        <v/>
      </c>
      <c r="H9" s="417" t="n"/>
      <c r="I9" s="418">
        <f>VLOOKUP(G10,'danh sach NPL'!$C$8:$H$65536,4,0)</f>
        <v/>
      </c>
      <c r="K9" s="138" t="inlineStr">
        <is>
          <t>China</t>
        </is>
      </c>
      <c r="M9" s="359">
        <f>INVOICE!D25</f>
        <v/>
      </c>
      <c r="O9" s="360" t="inlineStr">
        <is>
          <t>M</t>
        </is>
      </c>
      <c r="P9" s="419">
        <f>INVOICE!#REF!</f>
        <v/>
      </c>
      <c r="Q9" s="420">
        <f>R9/A9</f>
        <v/>
      </c>
      <c r="R9" s="363">
        <f>P9*M9</f>
        <v/>
      </c>
      <c r="T9" s="421">
        <f>$T$8*P9*M9</f>
        <v/>
      </c>
      <c r="V9" s="422" t="n"/>
      <c r="Y9" s="423" t="n"/>
    </row>
    <row r="10" ht="18" customHeight="1">
      <c r="B10" s="424" t="inlineStr">
        <is>
          <t>Khổ:</t>
        </is>
      </c>
      <c r="C10" s="425">
        <f>'Detail packing list'!#REF!</f>
        <v/>
      </c>
      <c r="D10" s="426">
        <f>'Detail packing list'!F21</f>
        <v/>
      </c>
      <c r="E10" s="427">
        <f>M9*C10</f>
        <v/>
      </c>
      <c r="F10" s="428" t="inlineStr">
        <is>
          <t>Mã NPL:</t>
        </is>
      </c>
      <c r="G10" s="429">
        <f>VLOOKUP(INVOICE!B25,Sheet1!$B$3:$H$6000,7,0)</f>
        <v/>
      </c>
      <c r="H10" s="417" t="n"/>
      <c r="Q10" s="430" t="inlineStr">
        <is>
          <t>$/m2)</t>
        </is>
      </c>
      <c r="Y10" s="423" t="n"/>
    </row>
    <row r="11" ht="23.25" customHeight="1">
      <c r="A11" s="415">
        <f>M11*C12</f>
        <v/>
      </c>
      <c r="B11" s="416">
        <f>VLOOKUP(G12,'danh sach NPL'!$C$8:$H$65536,2,0)&amp;" "&amp;'Detail packing list'!B22&amp;" "&amp;'Detail packing list'!C22</f>
        <v/>
      </c>
      <c r="H11" s="417" t="n"/>
      <c r="I11" s="418">
        <f>VLOOKUP(G12,'danh sach NPL'!$C$8:$H$65536,4,0)</f>
        <v/>
      </c>
      <c r="K11" s="138" t="inlineStr">
        <is>
          <t>China</t>
        </is>
      </c>
      <c r="M11" s="359">
        <f>INVOICE!#REF!</f>
        <v/>
      </c>
      <c r="O11" s="360" t="inlineStr">
        <is>
          <t>M</t>
        </is>
      </c>
      <c r="P11" s="419">
        <f>INVOICE!#REF!</f>
        <v/>
      </c>
      <c r="Q11" s="420">
        <f>R11/A11</f>
        <v/>
      </c>
      <c r="R11" s="363">
        <f>P11*M11</f>
        <v/>
      </c>
      <c r="T11" s="421">
        <f>$T$8*P11*M11</f>
        <v/>
      </c>
      <c r="V11" s="422" t="n"/>
      <c r="Y11" s="423" t="n"/>
    </row>
    <row r="12" ht="14.25" customHeight="1">
      <c r="B12" s="431" t="inlineStr">
        <is>
          <t>Khổ:</t>
        </is>
      </c>
      <c r="C12" s="432">
        <f>'Detail packing list'!#REF!</f>
        <v/>
      </c>
      <c r="D12" s="426">
        <f>'Detail packing list'!F22</f>
        <v/>
      </c>
      <c r="E12" s="427">
        <f>M11*C12</f>
        <v/>
      </c>
      <c r="F12" s="428" t="inlineStr">
        <is>
          <t>Mã NPL:</t>
        </is>
      </c>
      <c r="G12" s="429">
        <f>VLOOKUP(INVOICE!#REF!,Sheet1!$B$3:$H$6000,7,0)</f>
        <v/>
      </c>
      <c r="H12" s="417" t="n"/>
      <c r="Q12" s="430" t="inlineStr">
        <is>
          <t>$/m2)</t>
        </is>
      </c>
      <c r="Y12" s="423" t="n"/>
    </row>
    <row r="13" ht="23.25" customHeight="1">
      <c r="A13" s="415">
        <f>M13*C14</f>
        <v/>
      </c>
      <c r="B13" s="416">
        <f>VLOOKUP(G14,'danh sach NPL'!$C$8:$H$65536,2,0)&amp;" "&amp;'Detail packing list'!B23&amp;" "&amp;'Detail packing list'!C23</f>
        <v/>
      </c>
      <c r="H13" s="417" t="n"/>
      <c r="I13" s="418">
        <f>VLOOKUP(G14,'danh sach NPL'!$C$8:$H$65536,4,0)</f>
        <v/>
      </c>
      <c r="K13" s="138" t="inlineStr">
        <is>
          <t>China</t>
        </is>
      </c>
      <c r="M13" s="359">
        <f>INVOICE!#REF!</f>
        <v/>
      </c>
      <c r="O13" s="360" t="inlineStr">
        <is>
          <t>M</t>
        </is>
      </c>
      <c r="P13" s="419">
        <f>INVOICE!#REF!</f>
        <v/>
      </c>
      <c r="Q13" s="420">
        <f>R13/A13</f>
        <v/>
      </c>
      <c r="R13" s="363">
        <f>P13*M13</f>
        <v/>
      </c>
      <c r="T13" s="421">
        <f>$T$8*P13*M13</f>
        <v/>
      </c>
      <c r="V13" s="422" t="n"/>
      <c r="Y13" s="423" t="n"/>
    </row>
    <row r="14" ht="14.25" customHeight="1">
      <c r="B14" s="424" t="inlineStr">
        <is>
          <t>Khổ:</t>
        </is>
      </c>
      <c r="C14" s="425">
        <f>'Detail packing list'!#REF!</f>
        <v/>
      </c>
      <c r="D14" s="426">
        <f>'Detail packing list'!F23</f>
        <v/>
      </c>
      <c r="E14" s="427">
        <f>M13*C14</f>
        <v/>
      </c>
      <c r="F14" s="428" t="inlineStr">
        <is>
          <t>Mã NPL:</t>
        </is>
      </c>
      <c r="G14" s="429">
        <f>VLOOKUP(INVOICE!#REF!,Sheet1!$B$3:$H$6000,7,0)</f>
        <v/>
      </c>
      <c r="H14" s="417" t="n"/>
      <c r="Q14" s="430" t="inlineStr">
        <is>
          <t>$/m2)</t>
        </is>
      </c>
      <c r="Y14" s="423" t="n"/>
    </row>
    <row r="15" ht="23.25" customHeight="1">
      <c r="A15" s="415">
        <f>M15*C16</f>
        <v/>
      </c>
      <c r="B15" s="416">
        <f>VLOOKUP(G16,'danh sach NPL'!$C$8:$H$65536,2,0)&amp;" "&amp;'Detail packing list'!#REF!&amp;" "&amp;'Detail packing list'!#REF!</f>
        <v/>
      </c>
      <c r="H15" s="417" t="n"/>
      <c r="I15" s="418">
        <f>VLOOKUP(G16,'danh sach NPL'!$C$8:$H$65536,4,0)</f>
        <v/>
      </c>
      <c r="K15" s="138" t="inlineStr">
        <is>
          <t>China</t>
        </is>
      </c>
      <c r="M15" s="359">
        <f>INVOICE!#REF!</f>
        <v/>
      </c>
      <c r="O15" s="360" t="inlineStr">
        <is>
          <t>M</t>
        </is>
      </c>
      <c r="P15" s="419">
        <f>INVOICE!#REF!</f>
        <v/>
      </c>
      <c r="Q15" s="420">
        <f>R15/A15</f>
        <v/>
      </c>
      <c r="R15" s="363">
        <f>P15*M15</f>
        <v/>
      </c>
      <c r="T15" s="421">
        <f>$T$8*P15*M15</f>
        <v/>
      </c>
      <c r="V15" s="422" t="n"/>
      <c r="Y15" s="423" t="n"/>
    </row>
    <row r="16" ht="14.25" customHeight="1">
      <c r="B16" s="424" t="inlineStr">
        <is>
          <t>Khổ:</t>
        </is>
      </c>
      <c r="C16" s="425">
        <f>'Detail packing list'!#REF!</f>
        <v/>
      </c>
      <c r="D16" s="426">
        <f>'Detail packing list'!#REF!</f>
        <v/>
      </c>
      <c r="E16" s="427">
        <f>M15*C16</f>
        <v/>
      </c>
      <c r="F16" s="428" t="inlineStr">
        <is>
          <t>Mã NPL:</t>
        </is>
      </c>
      <c r="G16" s="429">
        <f>VLOOKUP(INVOICE!#REF!,Sheet1!$B$3:$H$6000,7,0)</f>
        <v/>
      </c>
      <c r="H16" s="417" t="n"/>
      <c r="Q16" s="430" t="inlineStr">
        <is>
          <t>$/m2)</t>
        </is>
      </c>
      <c r="Y16" s="423" t="n"/>
    </row>
    <row r="17" ht="23.25" customHeight="1">
      <c r="A17" s="415">
        <f>M17*C18</f>
        <v/>
      </c>
      <c r="B17" s="416">
        <f>VLOOKUP(G18,'danh sach NPL'!$C$8:$H$65536,2,0)&amp;" "&amp;'Detail packing list'!#REF!&amp;" "&amp;'Detail packing list'!#REF!</f>
        <v/>
      </c>
      <c r="H17" s="417" t="n"/>
      <c r="I17" s="418">
        <f>VLOOKUP(G18,'danh sach NPL'!$C$8:$H$65536,4,0)</f>
        <v/>
      </c>
      <c r="K17" s="138" t="inlineStr">
        <is>
          <t>China</t>
        </is>
      </c>
      <c r="M17" s="359">
        <f>INVOICE!#REF!</f>
        <v/>
      </c>
      <c r="O17" s="360" t="inlineStr">
        <is>
          <t>M</t>
        </is>
      </c>
      <c r="P17" s="419">
        <f>INVOICE!#REF!</f>
        <v/>
      </c>
      <c r="Q17" s="420">
        <f>R17/A17</f>
        <v/>
      </c>
      <c r="R17" s="363">
        <f>P17*M17</f>
        <v/>
      </c>
      <c r="T17" s="421">
        <f>$T$8*P17*M17</f>
        <v/>
      </c>
      <c r="V17" s="422" t="n"/>
      <c r="Y17" s="423" t="n"/>
    </row>
    <row r="18" ht="14.25" customHeight="1">
      <c r="B18" s="424" t="inlineStr">
        <is>
          <t>Khổ:</t>
        </is>
      </c>
      <c r="C18" s="425">
        <f>'Detail packing list'!#REF!</f>
        <v/>
      </c>
      <c r="D18" s="426">
        <f>'Detail packing list'!#REF!</f>
        <v/>
      </c>
      <c r="E18" s="427">
        <f>M17*C18</f>
        <v/>
      </c>
      <c r="F18" s="428" t="inlineStr">
        <is>
          <t>Mã NPL:</t>
        </is>
      </c>
      <c r="G18" s="429">
        <f>VLOOKUP(INVOICE!#REF!,Sheet1!$B$3:$H$6000,7,0)</f>
        <v/>
      </c>
      <c r="H18" s="417" t="n"/>
      <c r="Q18" s="430" t="inlineStr">
        <is>
          <t>$/m2)</t>
        </is>
      </c>
      <c r="Y18" s="423" t="n"/>
    </row>
    <row r="19" ht="23.25" customHeight="1">
      <c r="A19" s="415">
        <f>M19*C20</f>
        <v/>
      </c>
      <c r="B19" s="416">
        <f>VLOOKUP(G20,'danh sach NPL'!$C$8:$H$65536,2,0)&amp;" "&amp;'Detail packing list'!#REF!&amp;" "&amp;'Detail packing list'!#REF!</f>
        <v/>
      </c>
      <c r="H19" s="417" t="n"/>
      <c r="I19" s="418">
        <f>VLOOKUP(G20,'danh sach NPL'!$C$8:$H$65536,4,0)</f>
        <v/>
      </c>
      <c r="K19" s="138" t="inlineStr">
        <is>
          <t>China</t>
        </is>
      </c>
      <c r="M19" s="359">
        <f>INVOICE!#REF!</f>
        <v/>
      </c>
      <c r="O19" s="360" t="inlineStr">
        <is>
          <t>M</t>
        </is>
      </c>
      <c r="P19" s="419">
        <f>INVOICE!#REF!</f>
        <v/>
      </c>
      <c r="Q19" s="420">
        <f>R19/A19</f>
        <v/>
      </c>
      <c r="R19" s="363">
        <f>P19*M19</f>
        <v/>
      </c>
      <c r="T19" s="421">
        <f>$T$8*P19*M19</f>
        <v/>
      </c>
      <c r="V19" s="422" t="n"/>
      <c r="Y19" s="423" t="n"/>
    </row>
    <row r="20" ht="14.25" customHeight="1">
      <c r="B20" s="424" t="inlineStr">
        <is>
          <t>Khổ:</t>
        </is>
      </c>
      <c r="C20" s="425">
        <f>'Detail packing list'!#REF!</f>
        <v/>
      </c>
      <c r="D20" s="426">
        <f>'Detail packing list'!#REF!</f>
        <v/>
      </c>
      <c r="E20" s="427">
        <f>M19*C20</f>
        <v/>
      </c>
      <c r="F20" s="428" t="inlineStr">
        <is>
          <t>Mã NPL:</t>
        </is>
      </c>
      <c r="G20" s="429">
        <f>VLOOKUP(INVOICE!#REF!,Sheet1!$B$3:$H$6000,7,0)</f>
        <v/>
      </c>
      <c r="H20" s="417" t="n"/>
      <c r="Q20" s="430" t="inlineStr">
        <is>
          <t>$/m2)</t>
        </is>
      </c>
      <c r="Y20" s="423" t="n"/>
    </row>
    <row r="21" ht="23.25" customHeight="1">
      <c r="A21" s="415">
        <f>M21*C22</f>
        <v/>
      </c>
      <c r="B21" s="416">
        <f>VLOOKUP(G22,'danh sach NPL'!$C$8:$H$65536,2,0)&amp;" "&amp;'Detail packing list'!#REF!&amp;" "&amp;'Detail packing list'!#REF!</f>
        <v/>
      </c>
      <c r="H21" s="417" t="n"/>
      <c r="I21" s="418">
        <f>VLOOKUP(G22,'danh sach NPL'!$C$8:$H$65536,4,0)</f>
        <v/>
      </c>
      <c r="K21" s="138" t="inlineStr">
        <is>
          <t>China</t>
        </is>
      </c>
      <c r="M21" s="359">
        <f>INVOICE!#REF!</f>
        <v/>
      </c>
      <c r="O21" s="360" t="inlineStr">
        <is>
          <t>M</t>
        </is>
      </c>
      <c r="P21" s="419">
        <f>INVOICE!#REF!</f>
        <v/>
      </c>
      <c r="Q21" s="420">
        <f>R21/A21</f>
        <v/>
      </c>
      <c r="R21" s="363">
        <f>P21*M21</f>
        <v/>
      </c>
      <c r="T21" s="421">
        <f>$T$8*P21*M21</f>
        <v/>
      </c>
      <c r="V21" s="422" t="n"/>
      <c r="Y21" s="423" t="n"/>
    </row>
    <row r="22" ht="14.25" customHeight="1">
      <c r="B22" s="424" t="inlineStr">
        <is>
          <t>Khổ:</t>
        </is>
      </c>
      <c r="C22" s="425">
        <f>'Detail packing list'!#REF!</f>
        <v/>
      </c>
      <c r="D22" s="426">
        <f>'Detail packing list'!#REF!</f>
        <v/>
      </c>
      <c r="E22" s="427">
        <f>M21*C22</f>
        <v/>
      </c>
      <c r="F22" s="428" t="inlineStr">
        <is>
          <t>Mã NPL:</t>
        </is>
      </c>
      <c r="G22" s="429">
        <f>VLOOKUP(INVOICE!#REF!,Sheet1!$B$3:$H$6000,7,0)</f>
        <v/>
      </c>
      <c r="H22" s="417" t="n"/>
      <c r="Q22" s="430" t="inlineStr">
        <is>
          <t>$/m2)</t>
        </is>
      </c>
      <c r="Y22" s="423" t="n"/>
    </row>
    <row r="23" ht="23.25" customHeight="1">
      <c r="A23" s="415">
        <f>M23*C24</f>
        <v/>
      </c>
      <c r="B23" s="416">
        <f>VLOOKUP(G24,'danh sach NPL'!$C$8:$H$65536,2,0)&amp;" "&amp;'Detail packing list'!#REF!&amp;" "&amp;'Detail packing list'!#REF!</f>
        <v/>
      </c>
      <c r="H23" s="417" t="n"/>
      <c r="I23" s="418">
        <f>VLOOKUP(G24,'danh sach NPL'!$C$8:$H$65536,4,0)</f>
        <v/>
      </c>
      <c r="K23" s="138" t="inlineStr">
        <is>
          <t>China</t>
        </is>
      </c>
      <c r="M23" s="359">
        <f>INVOICE!#REF!</f>
        <v/>
      </c>
      <c r="O23" s="360" t="inlineStr">
        <is>
          <t>M</t>
        </is>
      </c>
      <c r="P23" s="419">
        <f>INVOICE!#REF!</f>
        <v/>
      </c>
      <c r="Q23" s="420">
        <f>R23/A23</f>
        <v/>
      </c>
      <c r="R23" s="363">
        <f>P23*M23</f>
        <v/>
      </c>
      <c r="T23" s="421">
        <f>$T$8*P23*M23</f>
        <v/>
      </c>
      <c r="V23" s="422" t="n"/>
      <c r="Y23" s="423" t="n"/>
    </row>
    <row r="24" ht="14.25" customHeight="1">
      <c r="B24" s="424" t="inlineStr">
        <is>
          <t>Khổ:</t>
        </is>
      </c>
      <c r="C24" s="425">
        <f>'Detail packing list'!#REF!</f>
        <v/>
      </c>
      <c r="D24" s="426">
        <f>'Detail packing list'!#REF!</f>
        <v/>
      </c>
      <c r="E24" s="427">
        <f>M23*C24</f>
        <v/>
      </c>
      <c r="F24" s="428" t="inlineStr">
        <is>
          <t>Mã NPL:</t>
        </is>
      </c>
      <c r="G24" s="429">
        <f>VLOOKUP(INVOICE!#REF!,Sheet1!$B$3:$H$6000,7,0)</f>
        <v/>
      </c>
      <c r="H24" s="417" t="n"/>
      <c r="Q24" s="430" t="inlineStr">
        <is>
          <t>$/m2)</t>
        </is>
      </c>
      <c r="Y24" s="423" t="n"/>
    </row>
    <row r="25" ht="23.25" customHeight="1">
      <c r="A25" s="415">
        <f>M25*C26</f>
        <v/>
      </c>
      <c r="B25" s="416">
        <f>VLOOKUP(G26,'danh sach NPL'!$C$8:$H$65536,2,0)&amp;" "&amp;'Detail packing list'!#REF!&amp;" "&amp;'Detail packing list'!#REF!</f>
        <v/>
      </c>
      <c r="H25" s="417" t="n"/>
      <c r="I25" s="418">
        <f>VLOOKUP(G26,'danh sach NPL'!$C$8:$H$65536,4,0)</f>
        <v/>
      </c>
      <c r="K25" s="138" t="inlineStr">
        <is>
          <t>China</t>
        </is>
      </c>
      <c r="M25" s="359">
        <f>INVOICE!#REF!</f>
        <v/>
      </c>
      <c r="O25" s="360" t="inlineStr">
        <is>
          <t>M</t>
        </is>
      </c>
      <c r="P25" s="419">
        <f>INVOICE!#REF!</f>
        <v/>
      </c>
      <c r="Q25" s="420">
        <f>R25/A25</f>
        <v/>
      </c>
      <c r="R25" s="363">
        <f>P25*M25</f>
        <v/>
      </c>
      <c r="T25" s="421">
        <f>$T$8*P25*M25</f>
        <v/>
      </c>
      <c r="V25" s="422" t="n"/>
      <c r="Y25" s="423" t="n"/>
    </row>
    <row r="26" ht="14.25" customHeight="1">
      <c r="B26" s="424" t="inlineStr">
        <is>
          <t>Khổ:</t>
        </is>
      </c>
      <c r="C26" s="425">
        <f>'Detail packing list'!#REF!</f>
        <v/>
      </c>
      <c r="D26" s="426">
        <f>'Detail packing list'!#REF!</f>
        <v/>
      </c>
      <c r="E26" s="427">
        <f>M25*C26</f>
        <v/>
      </c>
      <c r="F26" s="428" t="inlineStr">
        <is>
          <t>Mã NPL:</t>
        </is>
      </c>
      <c r="G26" s="429">
        <f>VLOOKUP(INVOICE!#REF!,Sheet1!$B$3:$H$6000,7,0)</f>
        <v/>
      </c>
      <c r="H26" s="417" t="n"/>
      <c r="Q26" s="430" t="inlineStr">
        <is>
          <t>$/m2)</t>
        </is>
      </c>
      <c r="Y26" s="423" t="n"/>
    </row>
    <row r="27" ht="23.25" customHeight="1">
      <c r="A27" s="415">
        <f>M27*C28</f>
        <v/>
      </c>
      <c r="B27" s="416">
        <f>VLOOKUP(G28,'danh sach NPL'!$C$8:$H$65536,2,0)&amp;" "&amp;'Detail packing list'!#REF!&amp;" "&amp;'Detail packing list'!#REF!</f>
        <v/>
      </c>
      <c r="H27" s="417" t="n"/>
      <c r="I27" s="418">
        <f>VLOOKUP(G28,'danh sach NPL'!$C$8:$H$65536,4,0)</f>
        <v/>
      </c>
      <c r="K27" s="138" t="inlineStr">
        <is>
          <t>China</t>
        </is>
      </c>
      <c r="M27" s="359">
        <f>INVOICE!#REF!</f>
        <v/>
      </c>
      <c r="O27" s="360" t="inlineStr">
        <is>
          <t>M</t>
        </is>
      </c>
      <c r="P27" s="419">
        <f>INVOICE!#REF!</f>
        <v/>
      </c>
      <c r="Q27" s="420">
        <f>R27/A27</f>
        <v/>
      </c>
      <c r="R27" s="363">
        <f>P27*M27</f>
        <v/>
      </c>
      <c r="T27" s="421">
        <f>$T$8*P27*M27</f>
        <v/>
      </c>
      <c r="V27" s="422" t="n"/>
      <c r="Y27" s="423" t="n"/>
    </row>
    <row r="28" ht="14.25" customHeight="1">
      <c r="B28" s="424" t="inlineStr">
        <is>
          <t>Khổ:</t>
        </is>
      </c>
      <c r="C28" s="425">
        <f>'Detail packing list'!#REF!</f>
        <v/>
      </c>
      <c r="D28" s="426">
        <f>'Detail packing list'!#REF!</f>
        <v/>
      </c>
      <c r="E28" s="427">
        <f>M27*C28</f>
        <v/>
      </c>
      <c r="F28" s="428" t="inlineStr">
        <is>
          <t>Mã NPL:</t>
        </is>
      </c>
      <c r="G28" s="429">
        <f>VLOOKUP(INVOICE!#REF!,Sheet1!$B$3:$H$6000,7,0)</f>
        <v/>
      </c>
      <c r="H28" s="417" t="n"/>
      <c r="Q28" s="430" t="inlineStr">
        <is>
          <t>$/m2)</t>
        </is>
      </c>
      <c r="Y28" s="423" t="n"/>
    </row>
    <row r="29" ht="23.25" customHeight="1">
      <c r="A29" s="415">
        <f>M29*C30</f>
        <v/>
      </c>
      <c r="B29" s="416">
        <f>VLOOKUP(G30,'danh sach NPL'!$C$8:$H$65536,2,0)&amp;" "&amp;'Detail packing list'!B55&amp;" "&amp;'Detail packing list'!C55</f>
        <v/>
      </c>
      <c r="H29" s="417" t="n"/>
      <c r="I29" s="418">
        <f>VLOOKUP(G30,'danh sach NPL'!$C$8:$H$65536,4,0)</f>
        <v/>
      </c>
      <c r="K29" s="138" t="inlineStr">
        <is>
          <t>China</t>
        </is>
      </c>
      <c r="M29" s="359">
        <f>INVOICE!D32</f>
        <v/>
      </c>
      <c r="O29" s="360" t="inlineStr">
        <is>
          <t>M</t>
        </is>
      </c>
      <c r="P29" s="419">
        <f>INVOICE!#REF!</f>
        <v/>
      </c>
      <c r="Q29" s="420">
        <f>R29/A29</f>
        <v/>
      </c>
      <c r="R29" s="363">
        <f>P29*M29</f>
        <v/>
      </c>
      <c r="T29" s="421">
        <f>$T$8*P29*M29</f>
        <v/>
      </c>
      <c r="V29" s="422" t="n"/>
      <c r="Y29" s="423" t="n"/>
    </row>
    <row r="30" ht="14.25" customHeight="1">
      <c r="B30" s="424" t="inlineStr">
        <is>
          <t>Khổ:</t>
        </is>
      </c>
      <c r="C30" s="425">
        <f>'Detail packing list'!#REF!</f>
        <v/>
      </c>
      <c r="D30" s="426">
        <f>'Detail packing list'!#REF!</f>
        <v/>
      </c>
      <c r="E30" s="427">
        <f>M29*C30</f>
        <v/>
      </c>
      <c r="F30" s="428" t="inlineStr">
        <is>
          <t>Mã NPL:</t>
        </is>
      </c>
      <c r="G30" s="429">
        <f>VLOOKUP(INVOICE!#REF!,Sheet1!$B$3:$H$6000,7,0)</f>
        <v/>
      </c>
      <c r="H30" s="417" t="n"/>
      <c r="Q30" s="430" t="inlineStr">
        <is>
          <t>$/m2)</t>
        </is>
      </c>
      <c r="Y30" s="423" t="n"/>
    </row>
    <row r="31" ht="27.75" customHeight="1">
      <c r="A31" s="433" t="n"/>
      <c r="B31" s="434" t="n"/>
      <c r="D31" s="419" t="n"/>
      <c r="E31" s="419" t="n"/>
      <c r="F31" s="435" t="n"/>
      <c r="G31" s="436" t="n">
        <v>0</v>
      </c>
      <c r="K31" s="437" t="n">
        <v>70.73999999999999</v>
      </c>
      <c r="O31" s="438">
        <f>+K31+G31</f>
        <v/>
      </c>
      <c r="R31" s="363">
        <f>SUM(R9:S30)</f>
        <v/>
      </c>
      <c r="T31" s="439">
        <f>SUM(T9:U26)</f>
        <v/>
      </c>
      <c r="V31" s="439" t="n"/>
      <c r="W31" s="439" t="n"/>
    </row>
    <row r="32" ht="45.75" customHeight="1">
      <c r="A32" s="433" t="n"/>
      <c r="B32" s="434" t="n"/>
      <c r="D32" s="419" t="n"/>
      <c r="E32" s="419" t="n"/>
      <c r="F32" s="435" t="n"/>
      <c r="G32" s="440" t="n"/>
      <c r="H32" s="435" t="n"/>
      <c r="I32" s="435" t="n"/>
      <c r="J32" s="435" t="n"/>
      <c r="K32" s="435" t="n"/>
      <c r="L32" s="435" t="n"/>
      <c r="M32" s="441" t="n"/>
      <c r="N32" s="441" t="n"/>
      <c r="O32" s="441" t="n"/>
      <c r="P32" s="442" t="n"/>
      <c r="Q32" s="443" t="n"/>
      <c r="R32" s="444" t="n"/>
      <c r="T32" s="439">
        <f>T31-O31</f>
        <v/>
      </c>
      <c r="V32" s="439" t="n"/>
      <c r="W32" s="439" t="n"/>
    </row>
    <row r="33" ht="12.95" customHeight="1">
      <c r="A33" s="445" t="n"/>
      <c r="B33" s="360">
        <f>+(T9+R9)*'TK SXXK'!$P$25</f>
        <v/>
      </c>
      <c r="E33" s="446">
        <f>VLOOKUP(G10,'danh sach NPL'!#REF!,6,0)</f>
        <v/>
      </c>
      <c r="F33" s="360">
        <f>E33*B33</f>
        <v/>
      </c>
      <c r="I33" s="447" t="inlineStr">
        <is>
          <t xml:space="preserve">Haøng khoâng thuoäc ñoái töôïng chòu thueá GTGT </t>
        </is>
      </c>
      <c r="R33" s="448" t="n"/>
      <c r="S33" s="448" t="n"/>
    </row>
    <row r="34" ht="12.95" customHeight="1">
      <c r="A34" s="445" t="n"/>
      <c r="R34" s="448" t="n"/>
      <c r="S34" s="448" t="n"/>
    </row>
    <row r="35" ht="12.95" customHeight="1">
      <c r="A35" s="445" t="n"/>
      <c r="B35" s="360">
        <f>+(T11+R11)*'TK SXXK'!$P$25</f>
        <v/>
      </c>
      <c r="E35" s="446">
        <f>VLOOKUP(G12,'danh sach NPL'!#REF!,6,0)</f>
        <v/>
      </c>
      <c r="F35" s="360">
        <f>E35*B35</f>
        <v/>
      </c>
      <c r="I35" s="449" t="n"/>
      <c r="J35" s="449" t="n"/>
      <c r="K35" s="449" t="n"/>
      <c r="L35" s="450" t="n"/>
      <c r="M35" s="449" t="n"/>
      <c r="N35" s="449" t="n"/>
      <c r="O35" s="449" t="n"/>
      <c r="Q35" s="451" t="n"/>
      <c r="R35" s="448" t="n"/>
      <c r="S35" s="448" t="n"/>
    </row>
    <row r="36" ht="24.75" customHeight="1">
      <c r="A36" s="445" t="n"/>
      <c r="I36" s="449" t="n"/>
      <c r="J36" s="449" t="n"/>
      <c r="K36" s="449" t="n"/>
      <c r="L36" s="450" t="n"/>
      <c r="M36" s="449" t="n"/>
      <c r="N36" s="449" t="n"/>
      <c r="O36" s="449" t="n"/>
      <c r="Q36" s="451" t="n"/>
      <c r="R36" s="448" t="n"/>
      <c r="S36" s="448" t="n"/>
    </row>
    <row r="37" hidden="1" ht="12.95" customHeight="1">
      <c r="A37" s="445" t="n"/>
      <c r="B37" s="360">
        <f>+(T13+R13)*'TK SXXK'!$P$25</f>
        <v/>
      </c>
      <c r="E37" s="446" t="n"/>
      <c r="F37" s="360">
        <f>E37*B37</f>
        <v/>
      </c>
      <c r="I37" s="449" t="n"/>
      <c r="J37" s="449" t="n"/>
      <c r="K37" s="449" t="n"/>
      <c r="L37" s="450" t="n"/>
      <c r="M37" s="449" t="n"/>
      <c r="N37" s="449" t="n"/>
      <c r="O37" s="449" t="n"/>
      <c r="Q37" s="451" t="n"/>
      <c r="R37" s="448" t="n"/>
      <c r="S37" s="448" t="n"/>
    </row>
    <row r="38" hidden="1" ht="12.75" customHeight="1">
      <c r="A38" s="445" t="n"/>
      <c r="I38" s="449" t="n"/>
      <c r="J38" s="449" t="n"/>
      <c r="K38" s="449" t="n"/>
      <c r="L38" s="450" t="n"/>
      <c r="M38" s="449" t="n"/>
      <c r="N38" s="449" t="n"/>
      <c r="O38" s="449" t="n"/>
      <c r="Q38" s="451" t="n"/>
      <c r="R38" s="448" t="n"/>
      <c r="S38" s="448" t="n"/>
    </row>
    <row r="39" hidden="1" ht="12.95" customHeight="1">
      <c r="A39" s="445" t="n"/>
      <c r="B39" s="360">
        <f>+(T15+R15)*'TK SXXK'!$P$25</f>
        <v/>
      </c>
      <c r="E39" s="446" t="n"/>
      <c r="F39" s="360">
        <f>E39*B39</f>
        <v/>
      </c>
      <c r="I39" s="449" t="n"/>
      <c r="J39" s="449" t="n"/>
      <c r="K39" s="449" t="n"/>
      <c r="L39" s="450" t="n"/>
      <c r="M39" s="449" t="n"/>
      <c r="N39" s="449" t="n"/>
      <c r="O39" s="449" t="n"/>
      <c r="Q39" s="451" t="n"/>
      <c r="R39" s="448" t="n"/>
      <c r="S39" s="448" t="n"/>
    </row>
    <row r="40" hidden="1" ht="12.95" customHeight="1">
      <c r="A40" s="445" t="n"/>
      <c r="I40" s="449" t="n"/>
      <c r="J40" s="449" t="n"/>
      <c r="K40" s="449" t="n"/>
      <c r="L40" s="450" t="n"/>
      <c r="M40" s="449" t="n"/>
      <c r="N40" s="449" t="n"/>
      <c r="O40" s="449" t="n"/>
      <c r="Q40" s="451" t="n"/>
      <c r="R40" s="448" t="n"/>
      <c r="S40" s="448" t="n"/>
    </row>
    <row r="41" hidden="1" ht="12.95" customHeight="1">
      <c r="A41" s="445" t="n"/>
      <c r="B41" s="360">
        <f>+(T17+R17)*'TK SXXK'!$P$25</f>
        <v/>
      </c>
      <c r="E41" s="446" t="n"/>
      <c r="F41" s="360">
        <f>E41*B41</f>
        <v/>
      </c>
      <c r="I41" s="449" t="n"/>
      <c r="J41" s="449" t="n"/>
      <c r="K41" s="449" t="n"/>
      <c r="L41" s="450" t="n"/>
      <c r="M41" s="449" t="n"/>
      <c r="N41" s="449" t="n"/>
      <c r="O41" s="449" t="n"/>
      <c r="Q41" s="451" t="n"/>
      <c r="R41" s="448" t="n"/>
      <c r="S41" s="448" t="n"/>
    </row>
    <row r="42" hidden="1" ht="12.95" customHeight="1">
      <c r="A42" s="445" t="n"/>
      <c r="I42" s="449" t="n"/>
      <c r="J42" s="449" t="n"/>
      <c r="K42" s="449" t="n"/>
      <c r="L42" s="450" t="n"/>
      <c r="M42" s="449" t="n"/>
      <c r="N42" s="449" t="n"/>
      <c r="O42" s="449" t="n"/>
      <c r="Q42" s="451" t="n"/>
      <c r="R42" s="448" t="n"/>
      <c r="S42" s="448" t="n"/>
    </row>
    <row r="43" hidden="1" ht="12.95" customHeight="1">
      <c r="A43" s="445" t="n"/>
      <c r="B43" s="360">
        <f>+(T19+R19)*'TK SXXK'!$P$25</f>
        <v/>
      </c>
      <c r="E43" s="446" t="n"/>
      <c r="F43" s="360">
        <f>E43*B43</f>
        <v/>
      </c>
      <c r="I43" s="449" t="n"/>
      <c r="J43" s="449" t="n"/>
      <c r="K43" s="449" t="n"/>
      <c r="L43" s="450" t="n"/>
      <c r="M43" s="449" t="n"/>
      <c r="N43" s="449" t="n"/>
      <c r="O43" s="449" t="n"/>
      <c r="Q43" s="451" t="n"/>
      <c r="R43" s="448" t="n"/>
      <c r="S43" s="448" t="n"/>
    </row>
    <row r="44" hidden="1" ht="12.95" customHeight="1">
      <c r="A44" s="445" t="n"/>
      <c r="I44" s="449" t="n"/>
      <c r="J44" s="449" t="n"/>
      <c r="K44" s="449" t="n"/>
      <c r="L44" s="450" t="n"/>
      <c r="M44" s="449" t="n"/>
      <c r="N44" s="449" t="n"/>
      <c r="O44" s="449" t="n"/>
      <c r="Q44" s="451" t="n"/>
      <c r="R44" s="448" t="n"/>
      <c r="S44" s="448" t="n"/>
    </row>
    <row r="45" hidden="1" ht="12.95" customHeight="1">
      <c r="A45" s="445" t="n"/>
      <c r="B45" s="360">
        <f>+(T21+R21)*'TK SXXK'!$P$25</f>
        <v/>
      </c>
      <c r="E45" s="446" t="n"/>
      <c r="F45" s="360">
        <f>E45*B45</f>
        <v/>
      </c>
      <c r="I45" s="449" t="n"/>
      <c r="J45" s="449" t="n"/>
      <c r="K45" s="449" t="n"/>
      <c r="L45" s="450" t="n"/>
      <c r="M45" s="449" t="n"/>
      <c r="N45" s="449" t="n"/>
      <c r="O45" s="449" t="n"/>
      <c r="Q45" s="451" t="n"/>
      <c r="R45" s="448" t="n"/>
      <c r="S45" s="448" t="n"/>
    </row>
    <row r="46" hidden="1" ht="12.95" customHeight="1">
      <c r="A46" s="445" t="n"/>
      <c r="I46" s="449" t="n"/>
      <c r="J46" s="449" t="n"/>
      <c r="K46" s="449" t="n"/>
      <c r="L46" s="450" t="n"/>
      <c r="M46" s="449" t="n"/>
      <c r="N46" s="449" t="n"/>
      <c r="O46" s="449" t="n"/>
      <c r="Q46" s="451" t="n"/>
      <c r="R46" s="448" t="n"/>
      <c r="S46" s="448" t="n"/>
    </row>
    <row r="47" hidden="1" ht="12.95" customHeight="1">
      <c r="A47" s="445" t="n"/>
      <c r="B47" s="360">
        <f>+(T23+R23)*'TK SXXK'!$P$25</f>
        <v/>
      </c>
      <c r="E47" s="446" t="n"/>
      <c r="F47" s="360">
        <f>E47*B47</f>
        <v/>
      </c>
      <c r="I47" s="449" t="n"/>
      <c r="J47" s="449" t="n"/>
      <c r="K47" s="449" t="n"/>
      <c r="L47" s="450" t="n"/>
      <c r="M47" s="449" t="n"/>
      <c r="N47" s="449" t="n"/>
      <c r="O47" s="449" t="n"/>
      <c r="Q47" s="451" t="n"/>
      <c r="R47" s="448" t="n"/>
      <c r="S47" s="448" t="n"/>
    </row>
    <row r="48" hidden="1" ht="12.95" customHeight="1">
      <c r="A48" s="445" t="n"/>
      <c r="I48" s="449" t="n"/>
      <c r="J48" s="449" t="n"/>
      <c r="K48" s="449" t="n"/>
      <c r="L48" s="450" t="n"/>
      <c r="M48" s="449" t="n"/>
      <c r="N48" s="449" t="n"/>
      <c r="O48" s="449" t="n"/>
      <c r="Q48" s="451" t="n"/>
      <c r="R48" s="448" t="n"/>
      <c r="S48" s="448" t="n"/>
    </row>
    <row r="49" hidden="1" ht="12.95" customHeight="1">
      <c r="A49" s="445" t="n"/>
      <c r="B49" s="360">
        <f>+(T25+R25)*'TK SXXK'!$P$25</f>
        <v/>
      </c>
      <c r="E49" s="446" t="n"/>
      <c r="F49" s="360">
        <f>E49*B49</f>
        <v/>
      </c>
      <c r="I49" s="449" t="n"/>
      <c r="J49" s="449" t="n"/>
      <c r="K49" s="449" t="n"/>
      <c r="L49" s="450" t="n"/>
      <c r="M49" s="449" t="n"/>
      <c r="N49" s="449" t="n"/>
      <c r="O49" s="449" t="n"/>
      <c r="Q49" s="451" t="n"/>
      <c r="R49" s="448" t="n"/>
      <c r="S49" s="448" t="n"/>
    </row>
    <row r="50" hidden="1" ht="12.95" customHeight="1">
      <c r="A50" s="445" t="n"/>
      <c r="I50" s="449" t="n"/>
      <c r="J50" s="449" t="n"/>
      <c r="K50" s="449" t="n"/>
      <c r="L50" s="450" t="n"/>
      <c r="M50" s="449" t="n"/>
      <c r="N50" s="449" t="n"/>
      <c r="O50" s="449" t="n"/>
      <c r="Q50" s="451" t="n"/>
      <c r="R50" s="448" t="n"/>
      <c r="S50" s="448" t="n"/>
    </row>
    <row r="51" hidden="1" ht="12.95" customHeight="1">
      <c r="A51" s="445" t="n"/>
      <c r="B51" s="360">
        <f>+(T27+R27)*'TK SXXK'!$P$25</f>
        <v/>
      </c>
      <c r="E51" s="446" t="n"/>
      <c r="F51" s="360">
        <f>E51*B51</f>
        <v/>
      </c>
      <c r="I51" s="449" t="n"/>
      <c r="J51" s="449" t="n"/>
      <c r="K51" s="449" t="n"/>
      <c r="L51" s="450" t="n"/>
      <c r="M51" s="449" t="n"/>
      <c r="N51" s="449" t="n"/>
      <c r="O51" s="449" t="n"/>
      <c r="Q51" s="451" t="n"/>
      <c r="R51" s="448" t="n"/>
      <c r="S51" s="448" t="n"/>
    </row>
    <row r="52" hidden="1" ht="12.95" customHeight="1">
      <c r="A52" s="445" t="n"/>
      <c r="I52" s="449" t="n"/>
      <c r="J52" s="449" t="n"/>
      <c r="K52" s="449" t="n"/>
      <c r="L52" s="450" t="n"/>
      <c r="M52" s="449" t="n"/>
      <c r="N52" s="449" t="n"/>
      <c r="O52" s="449" t="n"/>
      <c r="Q52" s="451" t="n"/>
      <c r="R52" s="448" t="n"/>
      <c r="S52" s="448" t="n"/>
    </row>
    <row r="53" hidden="1" ht="12.95" customHeight="1">
      <c r="A53" s="445" t="n"/>
      <c r="B53" s="360">
        <f>+(T29+R29)*'TK SXXK'!$P$25</f>
        <v/>
      </c>
      <c r="E53" s="446" t="n"/>
      <c r="F53" s="360">
        <f>E53*B53</f>
        <v/>
      </c>
      <c r="I53" s="449" t="n"/>
      <c r="J53" s="449" t="n"/>
      <c r="K53" s="449" t="n"/>
      <c r="L53" s="450" t="n"/>
      <c r="M53" s="449" t="n"/>
      <c r="N53" s="449" t="n"/>
      <c r="O53" s="449" t="n"/>
      <c r="Q53" s="451" t="n"/>
      <c r="R53" s="448" t="n"/>
      <c r="S53" s="448" t="n"/>
    </row>
    <row r="54" hidden="1" ht="12.95" customHeight="1">
      <c r="A54" s="445" t="n"/>
      <c r="I54" s="449" t="n"/>
      <c r="J54" s="449" t="n"/>
      <c r="K54" s="449" t="n"/>
      <c r="L54" s="450" t="n"/>
      <c r="M54" s="449" t="n"/>
      <c r="N54" s="449" t="n"/>
      <c r="O54" s="449" t="n"/>
      <c r="Q54" s="451" t="n"/>
      <c r="R54" s="448" t="n"/>
      <c r="S54" s="448" t="n"/>
    </row>
    <row r="55" ht="12.95" customHeight="1">
      <c r="A55" s="445" t="n"/>
      <c r="B55" s="360" t="n"/>
      <c r="E55" s="446" t="n"/>
      <c r="F55" s="360" t="n"/>
      <c r="G55" s="360" t="n"/>
      <c r="H55" s="360" t="n"/>
      <c r="I55" s="449" t="n"/>
      <c r="J55" s="449" t="n"/>
      <c r="K55" s="449" t="n"/>
      <c r="L55" s="450" t="n"/>
      <c r="M55" s="449" t="n"/>
      <c r="N55" s="449" t="n"/>
      <c r="O55" s="449" t="n"/>
      <c r="Q55" s="451" t="n"/>
      <c r="R55" s="448" t="n"/>
      <c r="S55" s="448" t="n"/>
    </row>
    <row r="56" ht="21" customHeight="1">
      <c r="A56" s="445" t="n"/>
      <c r="B56" s="452" t="n"/>
      <c r="C56" s="452" t="n"/>
      <c r="D56" s="453" t="n"/>
      <c r="E56" s="453" t="n"/>
      <c r="F56" s="454">
        <f>SUM(F33:H55)</f>
        <v/>
      </c>
      <c r="I56" s="455" t="n"/>
      <c r="J56" s="456" t="n"/>
      <c r="K56" s="456" t="n"/>
      <c r="L56" s="360" t="n"/>
      <c r="M56" s="454" t="n"/>
      <c r="P56" s="455" t="n"/>
      <c r="Q56" s="457" t="n"/>
      <c r="R56" s="455" t="n"/>
      <c r="S56" s="455" t="n"/>
    </row>
    <row r="57" ht="19.5" customHeight="1">
      <c r="A57" s="458" t="n"/>
      <c r="B57" s="459" t="n"/>
      <c r="C57" s="459" t="n"/>
      <c r="D57" s="460" t="n"/>
      <c r="E57" s="460" t="n"/>
      <c r="F57" s="459" t="n"/>
      <c r="G57" s="461" t="n"/>
      <c r="H57" s="462" t="n"/>
      <c r="I57" s="462" t="n"/>
      <c r="J57" s="463" t="n"/>
      <c r="K57" s="463" t="n"/>
      <c r="L57" s="464" t="n"/>
      <c r="M57" s="464" t="n"/>
      <c r="N57" s="462" t="n"/>
      <c r="O57" s="462" t="n"/>
      <c r="P57" s="462" t="n"/>
      <c r="Q57" s="465" t="n"/>
      <c r="R57" s="462" t="n"/>
      <c r="S57" s="462" t="n"/>
    </row>
    <row r="58" ht="19.5" customHeight="1">
      <c r="A58" s="458" t="n"/>
      <c r="B58" s="459" t="n"/>
      <c r="C58" s="459" t="n"/>
      <c r="D58" s="460" t="n"/>
      <c r="E58" s="460" t="n"/>
      <c r="F58" s="459" t="n"/>
      <c r="G58" s="461" t="n"/>
      <c r="H58" s="462" t="n"/>
      <c r="I58" s="462" t="n"/>
      <c r="J58" s="463" t="n"/>
      <c r="K58" s="463" t="n"/>
      <c r="L58" s="464" t="n"/>
      <c r="M58" s="464" t="n"/>
      <c r="N58" s="462" t="n"/>
      <c r="O58" s="462" t="n"/>
      <c r="P58" s="462" t="n"/>
      <c r="Q58" s="465" t="n"/>
      <c r="R58" s="462" t="n"/>
      <c r="S58" s="462" t="n"/>
    </row>
    <row r="59" ht="19.5" customHeight="1">
      <c r="A59" s="466" t="n"/>
      <c r="D59" s="460" t="n"/>
      <c r="E59" s="460" t="n"/>
      <c r="G59" s="461" t="n"/>
      <c r="L59" s="467" t="n"/>
      <c r="M59" s="467" t="n"/>
      <c r="N59" s="467" t="n"/>
      <c r="O59" s="467" t="n"/>
      <c r="P59" s="467" t="n"/>
      <c r="Q59" s="468" t="n"/>
    </row>
    <row r="60" ht="19.5" customHeight="1">
      <c r="A60" s="466" t="n"/>
      <c r="D60" s="460" t="n"/>
      <c r="E60" s="460" t="n"/>
      <c r="G60" s="461" t="n"/>
      <c r="Q60" s="468" t="n"/>
    </row>
    <row r="61" ht="19.5" customHeight="1"/>
    <row r="62" ht="19.5" customHeight="1"/>
    <row r="63" ht="19.5" customHeight="1"/>
    <row r="64" ht="19.5" customHeight="1">
      <c r="E64" s="469" t="n"/>
      <c r="H64" s="469" t="n"/>
    </row>
    <row r="65" ht="19.5" customHeight="1"/>
    <row r="66" ht="19.5" customHeight="1"/>
    <row r="67" ht="19.5" customHeight="1"/>
  </sheetData>
  <mergeCells count="159">
    <mergeCell ref="V27:W28"/>
    <mergeCell ref="M13:N14"/>
    <mergeCell ref="E39:E40"/>
    <mergeCell ref="R17:S18"/>
    <mergeCell ref="T17:U18"/>
    <mergeCell ref="F49:H50"/>
    <mergeCell ref="V11:W12"/>
    <mergeCell ref="M27:N28"/>
    <mergeCell ref="P21:P22"/>
    <mergeCell ref="K17:L18"/>
    <mergeCell ref="A27:A28"/>
    <mergeCell ref="I23:J24"/>
    <mergeCell ref="F53:H54"/>
    <mergeCell ref="P23:P24"/>
    <mergeCell ref="I19:J20"/>
    <mergeCell ref="K19:L20"/>
    <mergeCell ref="E49:E50"/>
    <mergeCell ref="P29:P30"/>
    <mergeCell ref="R23:S24"/>
    <mergeCell ref="I9:J10"/>
    <mergeCell ref="F45:H46"/>
    <mergeCell ref="O17:O18"/>
    <mergeCell ref="R32:S32"/>
    <mergeCell ref="V29:W30"/>
    <mergeCell ref="I11:J12"/>
    <mergeCell ref="E41:E42"/>
    <mergeCell ref="O27:O28"/>
    <mergeCell ref="V13:W14"/>
    <mergeCell ref="F47:H48"/>
    <mergeCell ref="O19:O20"/>
    <mergeCell ref="B37:D38"/>
    <mergeCell ref="M11:N12"/>
    <mergeCell ref="O9:O10"/>
    <mergeCell ref="V15:W16"/>
    <mergeCell ref="B21:G21"/>
    <mergeCell ref="R27:S28"/>
    <mergeCell ref="F37:H38"/>
    <mergeCell ref="P25:P26"/>
    <mergeCell ref="I21:J22"/>
    <mergeCell ref="M25:N26"/>
    <mergeCell ref="P9:P10"/>
    <mergeCell ref="B23:G23"/>
    <mergeCell ref="B13:G13"/>
    <mergeCell ref="B51:D52"/>
    <mergeCell ref="K23:L24"/>
    <mergeCell ref="P11:P12"/>
    <mergeCell ref="I13:J14"/>
    <mergeCell ref="K13:L14"/>
    <mergeCell ref="B41:D42"/>
    <mergeCell ref="G31:J31"/>
    <mergeCell ref="B35:D36"/>
    <mergeCell ref="O29:O30"/>
    <mergeCell ref="T19:U20"/>
    <mergeCell ref="B43:D44"/>
    <mergeCell ref="O31:P31"/>
    <mergeCell ref="R9:S10"/>
    <mergeCell ref="V25:W26"/>
    <mergeCell ref="A21:A22"/>
    <mergeCell ref="M29:N30"/>
    <mergeCell ref="A17:A18"/>
    <mergeCell ref="P13:P14"/>
    <mergeCell ref="R29:S30"/>
    <mergeCell ref="R11:S12"/>
    <mergeCell ref="M56:O56"/>
    <mergeCell ref="F35:H36"/>
    <mergeCell ref="A23:A24"/>
    <mergeCell ref="I27:J28"/>
    <mergeCell ref="R13:S14"/>
    <mergeCell ref="A19:A20"/>
    <mergeCell ref="F33:H34"/>
    <mergeCell ref="O23:O24"/>
    <mergeCell ref="T31:U31"/>
    <mergeCell ref="B25:G25"/>
    <mergeCell ref="K21:L22"/>
    <mergeCell ref="P15:P16"/>
    <mergeCell ref="B53:D54"/>
    <mergeCell ref="A9:A10"/>
    <mergeCell ref="R15:S16"/>
    <mergeCell ref="B27:G27"/>
    <mergeCell ref="V19:W20"/>
    <mergeCell ref="A11:A12"/>
    <mergeCell ref="B11:G11"/>
    <mergeCell ref="I25:J26"/>
    <mergeCell ref="T21:U22"/>
    <mergeCell ref="B45:D46"/>
    <mergeCell ref="E51:E52"/>
    <mergeCell ref="L4:N4"/>
    <mergeCell ref="B29:G29"/>
    <mergeCell ref="T13:U14"/>
    <mergeCell ref="P27:P28"/>
    <mergeCell ref="I29:J30"/>
    <mergeCell ref="P17:P18"/>
    <mergeCell ref="T23:U24"/>
    <mergeCell ref="O25:O26"/>
    <mergeCell ref="T15:U16"/>
    <mergeCell ref="O21:O22"/>
    <mergeCell ref="B15:G15"/>
    <mergeCell ref="V21:W22"/>
    <mergeCell ref="P19:P20"/>
    <mergeCell ref="K25:L26"/>
    <mergeCell ref="M19:N20"/>
    <mergeCell ref="K15:L16"/>
    <mergeCell ref="V17:W18"/>
    <mergeCell ref="A13:A14"/>
    <mergeCell ref="O11:O12"/>
    <mergeCell ref="F51:H52"/>
    <mergeCell ref="T8:U8"/>
    <mergeCell ref="F41:H42"/>
    <mergeCell ref="K31:N31"/>
    <mergeCell ref="J2:K2"/>
    <mergeCell ref="B49:D50"/>
    <mergeCell ref="F43:H44"/>
    <mergeCell ref="B33:D34"/>
    <mergeCell ref="R25:S26"/>
    <mergeCell ref="F39:H40"/>
    <mergeCell ref="T25:U26"/>
    <mergeCell ref="K27:L28"/>
    <mergeCell ref="E43:E44"/>
    <mergeCell ref="B5:G6"/>
    <mergeCell ref="I17:J18"/>
    <mergeCell ref="B17:G17"/>
    <mergeCell ref="E33:E34"/>
    <mergeCell ref="T32:U32"/>
    <mergeCell ref="M21:N22"/>
    <mergeCell ref="R31:S31"/>
    <mergeCell ref="T11:U12"/>
    <mergeCell ref="B19:G19"/>
    <mergeCell ref="M17:N18"/>
    <mergeCell ref="E35:E36"/>
    <mergeCell ref="A25:A26"/>
    <mergeCell ref="M23:N24"/>
    <mergeCell ref="B9:G9"/>
    <mergeCell ref="B47:D48"/>
    <mergeCell ref="F56:H56"/>
    <mergeCell ref="B55:D55"/>
    <mergeCell ref="T27:U28"/>
    <mergeCell ref="K9:L10"/>
    <mergeCell ref="H4:K4"/>
    <mergeCell ref="M9:N10"/>
    <mergeCell ref="B39:D40"/>
    <mergeCell ref="I15:J16"/>
    <mergeCell ref="A29:A30"/>
    <mergeCell ref="E45:E46"/>
    <mergeCell ref="K29:L30"/>
    <mergeCell ref="R19:S20"/>
    <mergeCell ref="T29:U30"/>
    <mergeCell ref="E53:E54"/>
    <mergeCell ref="V23:W24"/>
    <mergeCell ref="E47:E48"/>
    <mergeCell ref="O13:O14"/>
    <mergeCell ref="I33:Q34"/>
    <mergeCell ref="A15:A16"/>
    <mergeCell ref="E37:E38"/>
    <mergeCell ref="M15:N16"/>
    <mergeCell ref="K11:L12"/>
    <mergeCell ref="T9:U10"/>
    <mergeCell ref="O15:O16"/>
    <mergeCell ref="V9:W10"/>
    <mergeCell ref="R21:S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cols>
    <col width="5.5" customWidth="1" min="1" max="1"/>
    <col width="4.875" customWidth="1" min="2" max="2"/>
    <col width="2.875" customWidth="1" min="3" max="3"/>
    <col width="5.5" customWidth="1" min="4" max="4"/>
    <col width="1.5" customWidth="1" min="5" max="5"/>
    <col width="10.125" customWidth="1" min="6" max="6"/>
    <col width="9.75" customWidth="1" min="7" max="7"/>
    <col width="8.5" customWidth="1" min="8" max="8"/>
    <col width="2.25" customWidth="1" min="9" max="9"/>
    <col width="3.25" customWidth="1" min="10" max="10"/>
    <col width="4.25" customWidth="1" min="11" max="11"/>
    <col width="3.125" customWidth="1" min="13" max="13"/>
    <col width="5.875" customWidth="1" min="14" max="14"/>
    <col width="3.25" customWidth="1" min="15" max="15"/>
    <col width="3" customWidth="1" min="17" max="17"/>
    <col width="2.875" customWidth="1" min="18" max="18"/>
    <col width="13.125" customWidth="1" min="19" max="19"/>
    <col width="8" customWidth="1" min="20" max="20"/>
  </cols>
  <sheetData>
    <row r="1" ht="14.25" customHeight="1">
      <c r="P1" s="470" t="n"/>
      <c r="Q1" s="350" t="inlineStr">
        <is>
          <t>Maãu 19-DCCK/2009</t>
        </is>
      </c>
      <c r="R1" s="470" t="n"/>
      <c r="S1" s="470" t="n"/>
    </row>
    <row r="2" ht="15" customHeight="1">
      <c r="A2" s="471" t="inlineStr">
        <is>
          <t>COÄNG HOAØ XAÕ HOÂI CHUÛ NGHÓA VIEÄT NAM</t>
        </is>
      </c>
    </row>
    <row r="3" ht="15" customHeight="1">
      <c r="A3" s="472" t="inlineStr">
        <is>
          <t xml:space="preserve">          Ñoäc Laäp - Töï Do - Haïnh Phuùc</t>
        </is>
      </c>
    </row>
    <row r="4" ht="14.25" customHeight="1">
      <c r="A4" s="471" t="inlineStr">
        <is>
          <t>-----o0o-----</t>
        </is>
      </c>
    </row>
    <row r="5" ht="19.5" customHeight="1">
      <c r="A5" s="473" t="inlineStr">
        <is>
          <t xml:space="preserve">ÑÔN ÑEÀ NGHÒ CHUYEÅN CÖÛA KHAÅU HAØNG HOAÙ NHAÄP KHAÅU </t>
        </is>
      </c>
    </row>
    <row r="6" ht="3" customHeight="1">
      <c r="A6" s="474" t="n"/>
      <c r="B6" s="474" t="n"/>
      <c r="C6" s="474" t="n"/>
      <c r="D6" s="474" t="n"/>
      <c r="E6" s="474" t="n"/>
      <c r="F6" s="474" t="n"/>
      <c r="G6" s="474" t="n"/>
      <c r="H6" s="474" t="n"/>
      <c r="I6" s="474" t="n"/>
      <c r="J6" s="474" t="n"/>
      <c r="K6" s="474" t="n"/>
      <c r="L6" s="474" t="n"/>
      <c r="M6" s="474" t="n"/>
      <c r="N6" s="474" t="n"/>
      <c r="O6" s="474" t="n"/>
      <c r="P6" s="474" t="n"/>
      <c r="Q6" s="474" t="n"/>
      <c r="R6" s="474" t="n"/>
      <c r="S6" s="474" t="n"/>
    </row>
    <row r="7" ht="14.25" customHeight="1">
      <c r="A7" s="475" t="n"/>
      <c r="B7" s="476" t="n"/>
      <c r="C7" s="477" t="inlineStr">
        <is>
          <t>Kính gửi:</t>
        </is>
      </c>
      <c r="D7" s="477" t="n"/>
      <c r="E7" s="477" t="n"/>
      <c r="F7" s="478" t="inlineStr">
        <is>
          <t xml:space="preserve"> -  CHI CUÏC HAÛI QUAN SOÙNG THAÀN</t>
        </is>
      </c>
    </row>
    <row r="8" ht="16.5" customHeight="1">
      <c r="B8" s="479" t="inlineStr">
        <is>
          <t>Cty</t>
        </is>
      </c>
      <c r="C8" s="350" t="inlineStr">
        <is>
          <t>TNHH KYÕ NGHEÄ GOÃ HOA NEÙT</t>
        </is>
      </c>
      <c r="H8" s="480" t="inlineStr">
        <is>
          <t>, ñeà nghò ñöôïc laøm thuû tuïc Haûi Quan taïi Chi Cuïc Haûi Quan Soùng thaàn</t>
        </is>
      </c>
      <c r="J8" s="481" t="n"/>
      <c r="K8" s="481" t="n"/>
      <c r="L8" s="481" t="n"/>
      <c r="M8" s="481" t="n"/>
      <c r="N8" s="481" t="n"/>
      <c r="O8" s="481" t="n"/>
      <c r="P8" s="481" t="n"/>
      <c r="Q8" s="481" t="n"/>
      <c r="R8" s="481" t="n"/>
      <c r="S8" s="481" t="n"/>
    </row>
    <row r="9" ht="17.25" customHeight="1">
      <c r="A9" s="482" t="inlineStr">
        <is>
          <t>kieåm tra Haûi Quan (neáu coù) taïi ICD Soùng Thaàn cho loâ haøng nhaäp khaåu thuoäc vaän taûi ñôn soá:</t>
        </is>
      </c>
      <c r="K9" s="483" t="n"/>
      <c r="L9" s="483" t="n"/>
      <c r="M9" s="483" t="n"/>
      <c r="N9" s="483" t="n"/>
      <c r="O9" s="483" t="n"/>
      <c r="P9" s="483" t="n"/>
      <c r="Q9" s="484">
        <f>'TK SXXK'!S15</f>
        <v/>
      </c>
      <c r="R9" s="485" t="n"/>
      <c r="S9" s="486" t="n"/>
    </row>
    <row r="10" ht="16.5" customHeight="1">
      <c r="A10" s="482" t="inlineStr">
        <is>
          <t>chuyeân chôû treân PTVT</t>
        </is>
      </c>
      <c r="F10" s="484">
        <f>'TK SXXK'!P15</f>
        <v/>
      </c>
      <c r="I10" s="484" t="n"/>
      <c r="J10" s="484" t="n"/>
      <c r="K10" s="485" t="n"/>
      <c r="L10" s="470" t="inlineStr">
        <is>
          <t>tôùi cöûa khaåu nhaäp ngaøy</t>
        </is>
      </c>
      <c r="R10" s="487">
        <f>'TK SXXK'!Q17</f>
        <v/>
      </c>
    </row>
    <row r="11" ht="18" customHeight="1">
      <c r="A11" s="488" t="n"/>
      <c r="B11" s="481" t="inlineStr">
        <is>
          <t xml:space="preserve"> - Teân haøng</t>
        </is>
      </c>
      <c r="C11" s="489" t="n"/>
      <c r="D11" s="489" t="n"/>
      <c r="E11" s="489" t="inlineStr">
        <is>
          <t>:</t>
        </is>
      </c>
      <c r="F11" s="490">
        <f>'TK SXXK'!B28</f>
        <v/>
      </c>
      <c r="G11" s="491" t="n"/>
      <c r="H11" s="481" t="n"/>
      <c r="I11" s="481" t="n"/>
    </row>
    <row r="12" ht="18" customHeight="1">
      <c r="A12" s="481" t="n"/>
      <c r="B12" s="481" t="inlineStr">
        <is>
          <t xml:space="preserve"> - Löôïng haøng</t>
        </is>
      </c>
      <c r="C12" s="489" t="n"/>
      <c r="D12" s="489" t="n"/>
      <c r="E12" s="489" t="inlineStr">
        <is>
          <t>:</t>
        </is>
      </c>
      <c r="F12" s="492">
        <f>'TK SXXK'!D31</f>
        <v/>
      </c>
      <c r="G12" s="493" t="n">
        <v>0</v>
      </c>
      <c r="H12" s="494">
        <f>'TK SXXK'!F31</f>
        <v/>
      </c>
      <c r="J12" s="495" t="n">
        <v>0</v>
      </c>
      <c r="M12" s="496" t="n"/>
      <c r="N12" s="481" t="n"/>
      <c r="O12" s="481" t="n"/>
      <c r="P12" s="481" t="n"/>
      <c r="Q12" s="481" t="n"/>
      <c r="R12" s="481" t="n"/>
      <c r="S12" s="481" t="n"/>
    </row>
    <row r="13" ht="18" customHeight="1">
      <c r="B13" s="481" t="inlineStr">
        <is>
          <t xml:space="preserve"> - Trò giaù</t>
        </is>
      </c>
      <c r="C13" s="489" t="n"/>
      <c r="D13" s="489" t="n"/>
      <c r="E13" s="489" t="inlineStr">
        <is>
          <t>:</t>
        </is>
      </c>
      <c r="F13" s="497">
        <f>'TK SXXK'!T31</f>
        <v/>
      </c>
      <c r="G13" s="498" t="n">
        <v>0</v>
      </c>
      <c r="H13" s="499" t="n"/>
    </row>
    <row r="14" ht="14.25" customHeight="1">
      <c r="B14" s="481" t="inlineStr">
        <is>
          <t xml:space="preserve"> - Goàm </t>
        </is>
      </c>
      <c r="C14" s="489" t="n"/>
      <c r="D14" s="489" t="n"/>
      <c r="E14" s="489" t="inlineStr">
        <is>
          <t>:</t>
        </is>
      </c>
      <c r="F14" s="500" t="n"/>
      <c r="G14" s="481" t="inlineStr">
        <is>
          <t xml:space="preserve">container hoaëc xe chuyeân duøng coù soá hieäu </t>
        </is>
      </c>
      <c r="K14" s="500" t="n"/>
    </row>
    <row r="15" ht="21" customHeight="1">
      <c r="B15" s="470" t="inlineStr">
        <is>
          <t>Tuyeán ñöôøng vaän chuyeån:</t>
        </is>
      </c>
      <c r="H15" s="501" t="n"/>
      <c r="I15" s="502" t="n"/>
      <c r="J15" s="503" t="n"/>
    </row>
    <row r="16" ht="21" customHeight="1">
      <c r="G16" s="470" t="inlineStr">
        <is>
          <t>vôùi chieàu daøi:</t>
        </is>
      </c>
      <c r="K16" s="470" t="inlineStr">
        <is>
          <t xml:space="preserve">Thôøi gian vaän chuyeån: </t>
        </is>
      </c>
    </row>
    <row r="17" ht="21" customHeight="1">
      <c r="B17" s="470" t="inlineStr">
        <is>
          <t xml:space="preserve"> Coâng ty TNHH KYÕ NGHEÄ GOÃ HOA NEÙT cam keát chòu traùch nhieäm tröôùc phaùp luaät veà:</t>
        </is>
      </c>
    </row>
    <row r="18" ht="67.5" customHeight="1">
      <c r="A18" s="504" t="inlineStr">
        <is>
          <t xml:space="preserve">                  1. Ñaûm baûo söï nguyeân traïng haøng hoaù vaø caùc nieâm phong haûi quan, nieâm phong haõng taøu cho tôùi khi baøn giao cho Chi Cuïc Haûi Quan ngoaøi cöûa khaåu                                                                   , ñòa ñieåm kieåm tra haøng hoaù ôû noäi ñòa                                                                                               , giaùm saùt quaûn lyù theo qui ñònh.</t>
        </is>
      </c>
    </row>
    <row r="19" ht="36.75" customHeight="1">
      <c r="A19" s="504" t="inlineStr">
        <is>
          <t xml:space="preserve">                  2. Vaän chuyeån loâ haøng ñuùng tuyeán ñöôøng vaø thôøi gian, ñöa haøng veà ñuùng ñòa ñieåm kieåm tra ñaõ ñaêng kyù neâu treân.</t>
        </is>
      </c>
    </row>
    <row r="20" ht="14.25" customHeight="1">
      <c r="A20" s="505" t="n"/>
      <c r="I20" s="503" t="n"/>
      <c r="J20" s="503" t="n"/>
      <c r="K20" s="506" t="inlineStr">
        <is>
          <t>Bình Döông, Ngaøy     thaùng             naêm 2011</t>
        </is>
      </c>
    </row>
    <row r="21" ht="14.25" customHeight="1">
      <c r="A21" s="479" t="inlineStr">
        <is>
          <t xml:space="preserve">                                    </t>
        </is>
      </c>
      <c r="H21" s="479" t="n"/>
      <c r="K21" s="479" t="inlineStr">
        <is>
          <t>GIAÙM ÑOÁC COÂNG TY</t>
        </is>
      </c>
    </row>
    <row r="22" ht="12.75" customHeight="1">
      <c r="A22" s="506" t="inlineStr">
        <is>
          <t xml:space="preserve">                                                     </t>
        </is>
      </c>
      <c r="G22" s="506" t="n"/>
      <c r="I22" s="503" t="n"/>
      <c r="J22" s="503" t="n"/>
      <c r="K22" s="506" t="inlineStr">
        <is>
          <t>(Kyù ghi roõ hoï teân ñoùng daáu)</t>
        </is>
      </c>
    </row>
    <row r="23" ht="28.5" customHeight="1"/>
    <row r="24" ht="28.5" customHeight="1"/>
    <row r="25" ht="28.5" customHeight="1"/>
    <row r="26" ht="28.5" customHeight="1"/>
    <row r="27" ht="28.5" customHeight="1">
      <c r="A27" s="503" t="n"/>
      <c r="B27" s="507" t="n"/>
    </row>
    <row r="28" ht="15" customHeight="1">
      <c r="A28" s="503" t="n"/>
      <c r="C28" s="477" t="inlineStr">
        <is>
          <t>Kính gửi:</t>
        </is>
      </c>
      <c r="D28" s="477" t="n"/>
      <c r="E28" s="477" t="n"/>
      <c r="F28" s="470" t="inlineStr">
        <is>
          <t xml:space="preserve"> -  CHI CUÏC HAÛI QUAN </t>
        </is>
      </c>
      <c r="I28" s="471">
        <f>'TK SXXK'!T20</f>
        <v/>
      </c>
      <c r="N28" s="508" t="n"/>
      <c r="O28" s="508" t="n"/>
      <c r="Q28" s="508" t="n"/>
      <c r="S28" s="508" t="n"/>
    </row>
    <row r="29" ht="14.25" customHeight="1">
      <c r="A29" s="503" t="n"/>
      <c r="B29" s="503" t="inlineStr">
        <is>
          <t>Ñeà nghò laøm thuû tuïc chuyeån cöûa khaåu cho loâ haøng neâu treân  cuûa Coâng ty</t>
        </is>
      </c>
      <c r="S29" s="509">
        <f>C8</f>
        <v/>
      </c>
    </row>
    <row r="30" ht="16.5" customHeight="1">
      <c r="A30" s="503" t="inlineStr">
        <is>
          <t>thuoäc tôø khai Haûi Quan soá:............./NÑT- SXX/            Ngaøy            /           /2011</t>
        </is>
      </c>
    </row>
    <row r="31" ht="14.25" customHeight="1">
      <c r="A31" s="505" t="n"/>
      <c r="I31" s="503" t="n"/>
      <c r="J31" s="503" t="n"/>
      <c r="K31" s="506">
        <f>K20</f>
        <v/>
      </c>
    </row>
    <row r="32" ht="14.25" customHeight="1">
      <c r="A32" s="470" t="inlineStr">
        <is>
          <t xml:space="preserve">                      </t>
        </is>
      </c>
      <c r="I32" s="470" t="inlineStr">
        <is>
          <t xml:space="preserve">               Chi Cuïc HQ KCN Soùng Thaàn</t>
        </is>
      </c>
      <c r="K32" s="479" t="inlineStr">
        <is>
          <t>Chi Cuïc Haûi Quan Soùng Thaàn</t>
        </is>
      </c>
    </row>
    <row r="33" ht="14.25" customHeight="1">
      <c r="A33" s="503" t="inlineStr">
        <is>
          <t xml:space="preserve">                                                        </t>
        </is>
      </c>
      <c r="C33" s="503" t="inlineStr">
        <is>
          <t xml:space="preserve">    </t>
        </is>
      </c>
      <c r="D33" s="503" t="n"/>
      <c r="E33" s="503" t="n"/>
      <c r="F33" s="503" t="n"/>
      <c r="H33" s="503" t="n"/>
      <c r="I33" s="503" t="n"/>
      <c r="J33" s="503" t="n"/>
      <c r="K33" s="506" t="inlineStr">
        <is>
          <t xml:space="preserve"> (Kyù teân ñoùng daáu coâng chöùc )</t>
        </is>
      </c>
    </row>
    <row r="34" ht="14.25" customHeight="1">
      <c r="A34" s="503" t="n"/>
      <c r="C34" s="503" t="n"/>
      <c r="D34" s="503" t="n"/>
      <c r="E34" s="503" t="n"/>
      <c r="F34" s="503" t="n"/>
      <c r="H34" s="503" t="n"/>
      <c r="I34" s="503" t="n"/>
      <c r="J34" s="503" t="n"/>
      <c r="K34" s="506" t="n"/>
      <c r="L34" s="506" t="n"/>
      <c r="M34" s="506" t="n"/>
      <c r="N34" s="506" t="n"/>
      <c r="O34" s="506" t="n"/>
      <c r="P34" s="506" t="n"/>
      <c r="Q34" s="506" t="n"/>
      <c r="R34" s="506" t="n"/>
      <c r="S34" s="506" t="n"/>
    </row>
    <row r="35" ht="14.25" customHeight="1">
      <c r="A35" s="503" t="n"/>
      <c r="C35" s="503" t="n"/>
      <c r="D35" s="503" t="n"/>
      <c r="E35" s="503" t="n"/>
      <c r="F35" s="503" t="n"/>
      <c r="H35" s="503" t="n"/>
      <c r="I35" s="503" t="n"/>
      <c r="J35" s="503" t="n"/>
      <c r="K35" s="506" t="n"/>
      <c r="L35" s="506" t="n"/>
      <c r="M35" s="506" t="n"/>
      <c r="N35" s="506" t="n"/>
      <c r="O35" s="506" t="n"/>
      <c r="P35" s="506" t="n"/>
      <c r="Q35" s="506" t="n"/>
      <c r="R35" s="506" t="n"/>
      <c r="S35" s="506" t="n"/>
    </row>
    <row r="36" ht="14.25" customHeight="1">
      <c r="A36" s="503" t="n"/>
      <c r="C36" s="503" t="n"/>
      <c r="D36" s="503" t="n"/>
      <c r="E36" s="503" t="n"/>
      <c r="F36" s="503" t="n"/>
      <c r="H36" s="503" t="n"/>
      <c r="I36" s="503" t="n"/>
      <c r="J36" s="503" t="n"/>
      <c r="K36" s="506" t="n"/>
      <c r="L36" s="506" t="n"/>
      <c r="M36" s="506" t="n"/>
      <c r="N36" s="506" t="n"/>
      <c r="O36" s="506" t="n"/>
      <c r="P36" s="506" t="n"/>
      <c r="Q36" s="506" t="n"/>
      <c r="R36" s="506" t="n"/>
      <c r="S36" s="506" t="n"/>
    </row>
    <row r="37" ht="14.25" customHeight="1">
      <c r="A37" s="503" t="n"/>
      <c r="C37" s="503" t="n"/>
      <c r="D37" s="503" t="n"/>
      <c r="E37" s="503" t="n"/>
      <c r="F37" s="503" t="n"/>
      <c r="H37" s="503" t="n"/>
      <c r="I37" s="503" t="n"/>
      <c r="J37" s="503" t="n"/>
      <c r="K37" s="510" t="n"/>
      <c r="L37" s="510" t="n"/>
      <c r="M37" s="510" t="n"/>
      <c r="N37" s="510" t="n"/>
      <c r="O37" s="510" t="n"/>
      <c r="P37" s="510" t="n"/>
      <c r="Q37" s="510" t="n"/>
      <c r="R37" s="510" t="n"/>
      <c r="S37" s="510" t="n"/>
    </row>
    <row r="38" ht="14.25" customHeight="1">
      <c r="A38" s="476" t="n"/>
      <c r="C38" s="503" t="n"/>
      <c r="D38" s="503" t="n"/>
      <c r="E38" s="503" t="n"/>
      <c r="F38" s="503" t="n"/>
      <c r="H38" s="503" t="n"/>
      <c r="I38" s="503" t="n"/>
      <c r="J38" s="503" t="n"/>
      <c r="K38" s="510" t="n"/>
      <c r="L38" s="510" t="n"/>
      <c r="M38" s="510" t="n"/>
      <c r="N38" s="510" t="n"/>
      <c r="O38" s="510" t="n"/>
      <c r="P38" s="510" t="n"/>
      <c r="Q38" s="510" t="n"/>
      <c r="R38" s="510" t="n"/>
      <c r="S38" s="510" t="n"/>
    </row>
    <row r="39" ht="14.25" customHeight="1">
      <c r="A39" s="511" t="n"/>
      <c r="C39" s="503" t="n"/>
      <c r="D39" s="503" t="n"/>
      <c r="E39" s="503" t="n"/>
      <c r="F39" s="503" t="n"/>
      <c r="H39" s="503" t="n"/>
      <c r="I39" s="503" t="n"/>
      <c r="J39" s="503" t="n"/>
      <c r="K39" s="510" t="n"/>
      <c r="L39" s="510" t="n"/>
      <c r="M39" s="510" t="n"/>
      <c r="N39" s="510" t="n"/>
      <c r="O39" s="510" t="n"/>
      <c r="P39" s="510" t="n"/>
      <c r="Q39" s="510" t="n"/>
      <c r="R39" s="510" t="n"/>
      <c r="S39" s="510" t="n"/>
    </row>
    <row r="40" ht="14.25" customHeight="1">
      <c r="A40" s="511" t="n"/>
      <c r="C40" s="503" t="n"/>
      <c r="D40" s="503" t="n"/>
      <c r="E40" s="503" t="n"/>
      <c r="F40" s="503" t="n"/>
      <c r="H40" s="503" t="n"/>
      <c r="I40" s="503" t="n"/>
      <c r="J40" s="503" t="n"/>
      <c r="K40" s="510" t="n"/>
      <c r="L40" s="510" t="n"/>
      <c r="M40" s="510" t="n"/>
      <c r="N40" s="510" t="n"/>
      <c r="O40" s="510" t="n"/>
      <c r="P40" s="510" t="n"/>
      <c r="Q40" s="510" t="n"/>
      <c r="R40" s="510" t="n"/>
      <c r="S40" s="510" t="n"/>
    </row>
    <row r="41" ht="14.25" customHeight="1">
      <c r="A41" s="511" t="n"/>
      <c r="C41" s="503" t="n"/>
      <c r="D41" s="503" t="n"/>
      <c r="E41" s="503" t="n"/>
      <c r="F41" s="503" t="n"/>
      <c r="H41" s="503" t="n"/>
      <c r="I41" s="503" t="n"/>
      <c r="J41" s="503" t="n"/>
      <c r="K41" s="510" t="n"/>
      <c r="L41" s="510" t="n"/>
      <c r="M41" s="510" t="n"/>
      <c r="N41" s="510" t="n"/>
      <c r="O41" s="510" t="n"/>
      <c r="P41" s="510" t="n"/>
      <c r="Q41" s="510" t="n"/>
      <c r="R41" s="510" t="n"/>
      <c r="S41" s="510" t="n"/>
    </row>
    <row r="42" ht="14.25" customHeight="1">
      <c r="A42" s="511" t="n"/>
      <c r="C42" s="503" t="n"/>
      <c r="D42" s="503" t="n"/>
      <c r="E42" s="503" t="n"/>
      <c r="F42" s="503" t="n"/>
      <c r="H42" s="503" t="n"/>
      <c r="I42" s="503" t="n"/>
      <c r="J42" s="503" t="n"/>
      <c r="K42" s="510" t="n"/>
      <c r="L42" s="510" t="n"/>
      <c r="M42" s="510" t="n"/>
      <c r="N42" s="510" t="n"/>
      <c r="O42" s="510" t="n"/>
      <c r="P42" s="510" t="n"/>
      <c r="Q42" s="510" t="n"/>
      <c r="R42" s="510" t="n"/>
      <c r="S42" s="510" t="n"/>
    </row>
    <row r="43" ht="14.25" customHeight="1">
      <c r="A43" s="503" t="n"/>
      <c r="C43" s="503" t="n"/>
      <c r="D43" s="503" t="n"/>
      <c r="E43" s="503" t="n"/>
      <c r="F43" s="503" t="n"/>
      <c r="H43" s="503" t="n"/>
      <c r="I43" s="503" t="n"/>
      <c r="J43" s="503" t="n"/>
      <c r="K43" s="510" t="n"/>
      <c r="L43" s="510" t="n"/>
      <c r="M43" s="510" t="n"/>
      <c r="N43" s="510" t="n"/>
      <c r="O43" s="510" t="n"/>
      <c r="P43" s="510" t="n"/>
      <c r="Q43" s="510" t="n"/>
      <c r="R43" s="510" t="n"/>
      <c r="S43" s="510" t="n"/>
    </row>
  </sheetData>
  <mergeCells count="16">
    <mergeCell ref="H12:I12"/>
    <mergeCell ref="A19:S19"/>
    <mergeCell ref="K32:S32"/>
    <mergeCell ref="K33:S33"/>
    <mergeCell ref="A5:S5"/>
    <mergeCell ref="K31:S31"/>
    <mergeCell ref="A18:S18"/>
    <mergeCell ref="R10:S10"/>
    <mergeCell ref="K22:S22"/>
    <mergeCell ref="I28:M28"/>
    <mergeCell ref="A3:S3"/>
    <mergeCell ref="J12:L12"/>
    <mergeCell ref="K21:S21"/>
    <mergeCell ref="A2:S2"/>
    <mergeCell ref="A4:S4"/>
    <mergeCell ref="K20:S2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6.125" customWidth="1" min="1" max="1"/>
    <col width="1.125" customWidth="1" min="2" max="2"/>
    <col width="28.125" customWidth="1" min="3" max="3"/>
    <col width="8" customWidth="1" min="4" max="4"/>
  </cols>
  <sheetData>
    <row r="1" ht="15" customHeight="1">
      <c r="A1" s="512" t="n"/>
      <c r="C1" s="512" t="n"/>
    </row>
    <row r="2" ht="15" customHeight="1">
      <c r="A2" s="512" t="n"/>
    </row>
    <row r="3" ht="15" customHeight="1">
      <c r="A3" s="512" t="n"/>
      <c r="C3" s="512" t="n"/>
    </row>
    <row r="4" ht="15" customHeight="1">
      <c r="A4" s="512" t="n"/>
      <c r="C4" s="512" t="n"/>
    </row>
    <row r="5" ht="15" customHeight="1">
      <c r="C5" s="512" t="n"/>
    </row>
    <row r="6" ht="15" customHeight="1">
      <c r="C6" s="512" t="n"/>
    </row>
    <row r="7" ht="15" customHeight="1">
      <c r="A7" s="512" t="n"/>
      <c r="C7" s="512" t="n"/>
    </row>
    <row r="8" ht="15" customHeight="1">
      <c r="A8" s="512" t="n"/>
      <c r="C8" s="512" t="n"/>
    </row>
    <row r="9" ht="15" customHeight="1">
      <c r="A9" s="512" t="n"/>
      <c r="C9" s="512" t="n"/>
    </row>
    <row r="10" ht="15" customHeight="1">
      <c r="A10" s="512" t="n"/>
      <c r="C10" s="512" t="n"/>
    </row>
    <row r="11" ht="15" customHeight="1">
      <c r="A11" s="512" t="n"/>
      <c r="C11" s="512" t="n"/>
    </row>
    <row r="12" ht="15" customHeight="1">
      <c r="C12" s="512" t="n"/>
    </row>
    <row r="13" ht="15" customHeight="1">
      <c r="C13" s="512" t="n"/>
    </row>
    <row r="14" ht="15" customHeight="1">
      <c r="A14" s="512" t="n"/>
      <c r="C14" s="512" t="n"/>
    </row>
    <row r="15" ht="15" customHeight="1">
      <c r="A15" s="512" t="n"/>
    </row>
    <row r="16" ht="15" customHeight="1">
      <c r="A16" s="512" t="n"/>
    </row>
    <row r="17" ht="15" customHeight="1">
      <c r="A17" s="512" t="n"/>
      <c r="C17" s="512" t="n"/>
    </row>
    <row r="18" ht="15" customHeight="1">
      <c r="C18" s="512" t="n"/>
    </row>
    <row r="19" ht="15" customHeight="1">
      <c r="C19" s="512" t="n"/>
    </row>
    <row r="20" ht="15" customHeight="1">
      <c r="A20" s="512" t="n"/>
      <c r="C20" s="512" t="n"/>
    </row>
    <row r="21" ht="15" customHeight="1">
      <c r="A21" s="512" t="n"/>
      <c r="C21" s="512" t="n"/>
    </row>
    <row r="22" ht="15" customHeight="1">
      <c r="A22" s="512" t="n"/>
      <c r="C22" s="512" t="n"/>
    </row>
    <row r="23" ht="15" customHeight="1">
      <c r="A23" s="512" t="n"/>
      <c r="C23" s="512" t="n"/>
    </row>
    <row r="24" ht="15" customHeight="1">
      <c r="A24" s="512" t="n"/>
    </row>
    <row r="25" ht="15" customHeight="1">
      <c r="A25" s="512" t="n"/>
    </row>
    <row r="26" ht="15" customHeight="1">
      <c r="A26" s="512" t="n"/>
      <c r="C26" s="512" t="n"/>
    </row>
    <row r="27" ht="15" customHeight="1">
      <c r="A27" s="512" t="n"/>
      <c r="C27" s="512" t="n"/>
    </row>
    <row r="28" ht="15" customHeight="1">
      <c r="A28" s="512" t="n"/>
      <c r="C28" s="512" t="n"/>
    </row>
    <row r="29" ht="15" customHeight="1">
      <c r="A29" s="512" t="n"/>
      <c r="C29" s="512" t="n"/>
    </row>
    <row r="30" ht="15" customHeight="1">
      <c r="A30" s="512" t="n"/>
      <c r="C30" s="512" t="n"/>
    </row>
    <row r="31" ht="15" customHeight="1">
      <c r="A31" s="512" t="n"/>
      <c r="C31" s="512" t="n"/>
    </row>
    <row r="32" ht="15" customHeight="1">
      <c r="A32" s="512" t="n"/>
      <c r="C32" s="512" t="n"/>
    </row>
    <row r="33" ht="15" customHeight="1">
      <c r="A33" s="512" t="n"/>
      <c r="C33" s="512" t="n"/>
    </row>
    <row r="34" ht="15" customHeight="1">
      <c r="A34" s="512" t="n"/>
      <c r="C34" s="512" t="n"/>
    </row>
    <row r="35" ht="15" customHeight="1">
      <c r="A35" s="512" t="n"/>
      <c r="C35" s="512" t="n"/>
    </row>
    <row r="36" ht="15" customHeight="1">
      <c r="A36" s="512" t="n"/>
      <c r="C36" s="512" t="n"/>
    </row>
    <row r="37" ht="15" customHeight="1">
      <c r="A37" s="512" t="n"/>
    </row>
    <row r="38" ht="15" customHeight="1">
      <c r="A38" s="512" t="n"/>
    </row>
    <row r="39" ht="15" customHeight="1">
      <c r="A39" s="512" t="n"/>
      <c r="C39" s="512" t="n"/>
    </row>
    <row r="40" ht="15" customHeight="1">
      <c r="A40" s="512" t="n"/>
      <c r="C40" s="512" t="n"/>
    </row>
    <row r="41" ht="15" customHeight="1">
      <c r="A41" s="512" t="n"/>
      <c r="C41" s="51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6.125" customWidth="1" min="1" max="1"/>
    <col width="1.125" customWidth="1" min="2" max="2"/>
    <col width="28.125" customWidth="1" min="3" max="3"/>
    <col width="8" customWidth="1" min="4" max="4"/>
  </cols>
  <sheetData>
    <row r="1" ht="15" customHeight="1">
      <c r="A1" s="513" t="n"/>
    </row>
    <row r="2" ht="15" customHeight="1">
      <c r="A2" s="513" t="n"/>
    </row>
    <row r="3" ht="15" customHeight="1">
      <c r="A3" s="513" t="n"/>
      <c r="C3" s="513" t="n"/>
    </row>
    <row r="4" ht="15" customHeight="1">
      <c r="A4" s="513" t="n"/>
      <c r="C4" s="513" t="n"/>
    </row>
    <row r="5" ht="15" customHeight="1">
      <c r="C5" s="513" t="n"/>
    </row>
    <row r="6" ht="15" customHeight="1">
      <c r="C6" s="513" t="n"/>
    </row>
    <row r="7" ht="15" customHeight="1">
      <c r="A7" s="513" t="n"/>
      <c r="C7" s="513" t="n"/>
    </row>
    <row r="8" ht="15" customHeight="1">
      <c r="A8" s="513" t="n"/>
      <c r="C8" s="513" t="n"/>
    </row>
    <row r="9" ht="15" customHeight="1">
      <c r="A9" s="513" t="n"/>
      <c r="C9" s="513" t="n"/>
    </row>
    <row r="10" ht="15" customHeight="1">
      <c r="A10" s="513" t="n"/>
      <c r="C10" s="513" t="n"/>
    </row>
    <row r="11" ht="15" customHeight="1">
      <c r="A11" s="513" t="n"/>
      <c r="C11" s="513" t="n"/>
    </row>
    <row r="12" ht="15" customHeight="1">
      <c r="C12" s="513" t="n"/>
    </row>
    <row r="13" ht="15" customHeight="1">
      <c r="C13" s="513" t="n"/>
    </row>
    <row r="14" ht="15" customHeight="1">
      <c r="A14" s="513" t="n"/>
      <c r="C14" s="513" t="n"/>
    </row>
    <row r="15" ht="15" customHeight="1">
      <c r="A15" s="513" t="n"/>
    </row>
    <row r="16" ht="15" customHeight="1">
      <c r="A16" s="513" t="n"/>
    </row>
    <row r="17" ht="15" customHeight="1">
      <c r="A17" s="513" t="n"/>
      <c r="C17" s="513" t="n"/>
    </row>
    <row r="18" ht="15" customHeight="1">
      <c r="C18" s="513" t="n"/>
    </row>
    <row r="19" ht="15" customHeight="1">
      <c r="C19" s="513" t="n"/>
    </row>
    <row r="20" ht="15" customHeight="1">
      <c r="A20" s="513" t="n"/>
      <c r="C20" s="513" t="n"/>
    </row>
    <row r="21" ht="15" customHeight="1">
      <c r="A21" s="513" t="n"/>
      <c r="C21" s="513" t="n"/>
    </row>
    <row r="22" ht="15" customHeight="1">
      <c r="A22" s="513" t="n"/>
      <c r="C22" s="513" t="n"/>
    </row>
    <row r="23" ht="15" customHeight="1">
      <c r="A23" s="513" t="n"/>
      <c r="C23" s="513" t="n"/>
    </row>
    <row r="24" ht="15" customHeight="1">
      <c r="A24" s="513" t="n"/>
    </row>
    <row r="25" ht="15" customHeight="1">
      <c r="A25" s="513" t="n"/>
    </row>
    <row r="26" ht="15" customHeight="1">
      <c r="A26" s="513" t="n"/>
      <c r="C26" s="513" t="n"/>
    </row>
    <row r="27" ht="15" customHeight="1">
      <c r="A27" s="513" t="n"/>
      <c r="C27" s="513" t="n"/>
    </row>
    <row r="28" ht="15" customHeight="1">
      <c r="A28" s="513" t="n"/>
      <c r="C28" s="513" t="n"/>
    </row>
    <row r="29" ht="15" customHeight="1">
      <c r="A29" s="513" t="n"/>
      <c r="C29" s="513" t="n"/>
    </row>
    <row r="30" ht="15" customHeight="1">
      <c r="A30" s="513" t="n"/>
      <c r="C30" s="513" t="n"/>
    </row>
    <row r="31" ht="15" customHeight="1">
      <c r="A31" s="513" t="n"/>
      <c r="C31" s="513" t="n"/>
    </row>
    <row r="32" ht="15" customHeight="1">
      <c r="A32" s="513" t="n"/>
      <c r="C32" s="513" t="n"/>
    </row>
    <row r="33" ht="15" customHeight="1">
      <c r="A33" s="513" t="n"/>
      <c r="C33" s="513" t="n"/>
    </row>
    <row r="34" ht="15" customHeight="1">
      <c r="A34" s="513" t="n"/>
      <c r="C34" s="513" t="n"/>
    </row>
    <row r="35" ht="15" customHeight="1">
      <c r="A35" s="513" t="n"/>
      <c r="C35" s="513" t="n"/>
    </row>
    <row r="36" ht="15" customHeight="1">
      <c r="A36" s="513" t="n"/>
      <c r="C36" s="513" t="n"/>
    </row>
    <row r="37" ht="15" customHeight="1">
      <c r="A37" s="513" t="n"/>
    </row>
    <row r="38" ht="15" customHeight="1">
      <c r="A38" s="513" t="n"/>
    </row>
    <row r="39" ht="15" customHeight="1">
      <c r="A39" s="513" t="n"/>
      <c r="C39" s="513" t="n"/>
    </row>
    <row r="40" ht="15" customHeight="1">
      <c r="A40" s="513" t="n"/>
      <c r="C40" s="513" t="n"/>
    </row>
    <row r="41" ht="15" customHeight="1">
      <c r="A41" s="513" t="n"/>
      <c r="C41" s="513"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22.875" customWidth="1" min="1" max="1"/>
    <col width="1" customWidth="1" min="2" max="2"/>
    <col width="24.75" customWidth="1" min="3" max="3"/>
    <col width="7" customWidth="1" min="4" max="4"/>
  </cols>
  <sheetData>
    <row r="2" ht="15" customHeight="1"/>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2.75" customWidth="1" min="1" max="1"/>
    <col width="25.75" customWidth="1" min="2" max="2"/>
    <col width="26.875" customWidth="1" min="3" max="3"/>
  </cols>
  <sheetData>
    <row r="1" ht="15" customHeight="1">
      <c r="A1" s="514" t="inlineStr">
        <is>
          <t>Số vận đơn</t>
        </is>
      </c>
      <c r="B1" s="514" t="inlineStr">
        <is>
          <t>Số Container</t>
        </is>
      </c>
      <c r="C1" s="514" t="inlineStr">
        <is>
          <t>Số seal</t>
        </is>
      </c>
    </row>
    <row r="2">
      <c r="A2" t="inlineStr">
        <is>
          <t>BGNL59406189</t>
        </is>
      </c>
      <c r="B2" t="inlineStr">
        <is>
          <t>DFSU6959629</t>
        </is>
      </c>
      <c r="C2" t="inlineStr">
        <is>
          <t>HD3313974</t>
        </is>
      </c>
    </row>
    <row r="3">
      <c r="A3" t="inlineStr">
        <is>
          <t>BGNL59406189</t>
        </is>
      </c>
      <c r="B3" t="inlineStr">
        <is>
          <t>HDMU6184442</t>
        </is>
      </c>
      <c r="C3" t="inlineStr">
        <is>
          <t>HD3313980</t>
        </is>
      </c>
    </row>
    <row r="4">
      <c r="A4" t="inlineStr">
        <is>
          <t>BGNL59406189</t>
        </is>
      </c>
      <c r="B4" t="inlineStr">
        <is>
          <t>DFSU6833245</t>
        </is>
      </c>
      <c r="C4" t="inlineStr">
        <is>
          <t>HD3313990</t>
        </is>
      </c>
    </row>
    <row r="5">
      <c r="A5" t="inlineStr">
        <is>
          <t>BGNL59406189</t>
        </is>
      </c>
      <c r="B5" t="inlineStr">
        <is>
          <t>HDMU6872419</t>
        </is>
      </c>
      <c r="C5" t="inlineStr">
        <is>
          <t>HD3313972</t>
        </is>
      </c>
    </row>
    <row r="6">
      <c r="A6" t="inlineStr">
        <is>
          <t>BGNL59406189</t>
        </is>
      </c>
      <c r="B6" t="inlineStr">
        <is>
          <t>HDMU6732206</t>
        </is>
      </c>
      <c r="C6" t="inlineStr">
        <is>
          <t>HD3313979</t>
        </is>
      </c>
    </row>
    <row r="7">
      <c r="A7" t="inlineStr">
        <is>
          <t>BGNL59406189</t>
        </is>
      </c>
      <c r="B7" t="inlineStr">
        <is>
          <t>HMMU6001046</t>
        </is>
      </c>
      <c r="C7" t="inlineStr">
        <is>
          <t>HD3313968</t>
        </is>
      </c>
    </row>
    <row r="8">
      <c r="A8" t="inlineStr">
        <is>
          <t>BGNL59406189</t>
        </is>
      </c>
      <c r="B8" t="inlineStr">
        <is>
          <t>TCNU7652731</t>
        </is>
      </c>
      <c r="C8" t="inlineStr">
        <is>
          <t>HD3313945</t>
        </is>
      </c>
    </row>
    <row r="9">
      <c r="A9" t="inlineStr">
        <is>
          <t>BGNL59406189</t>
        </is>
      </c>
      <c r="B9" t="inlineStr">
        <is>
          <t>BMOU5180545</t>
        </is>
      </c>
      <c r="C9" t="inlineStr">
        <is>
          <t>HD3313960</t>
        </is>
      </c>
    </row>
    <row r="10">
      <c r="A10" t="inlineStr">
        <is>
          <t>BGNL59406189</t>
        </is>
      </c>
      <c r="B10" t="inlineStr">
        <is>
          <t>BMOU2317450</t>
        </is>
      </c>
      <c r="C10" t="inlineStr">
        <is>
          <t>HD3313977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cols>
    <col width="11.25" customWidth="1" min="1" max="1"/>
    <col width="30.75" customWidth="1" min="2" max="2"/>
    <col width="8" customWidth="1" min="3" max="3"/>
    <col hidden="1" width="8" customWidth="1" min="4" max="4"/>
    <col width="7.25" customWidth="1" min="8" max="8"/>
    <col width="9.25" customWidth="1" min="10" max="10"/>
    <col width="11.875" customWidth="1" min="11" max="11"/>
  </cols>
  <sheetData>
    <row r="1">
      <c r="A1" s="515" t="inlineStr">
        <is>
          <t xml:space="preserve"> </t>
        </is>
      </c>
    </row>
    <row r="2" ht="17.25" customHeight="1">
      <c r="A2" s="516" t="inlineStr">
        <is>
          <t xml:space="preserve"> CTY TNHH KỸ NGHỆ GỖ HOA NÉT</t>
        </is>
      </c>
      <c r="C2" s="517" t="inlineStr">
        <is>
          <t>COÄNG HOØA XAÕ HOÄI CHUÛ NGHÓA VIEÄT NAM</t>
        </is>
      </c>
    </row>
    <row r="3" ht="20.25" customHeight="1">
      <c r="A3" s="518" t="n"/>
      <c r="C3" s="519" t="inlineStr">
        <is>
          <t>Độc lập-Töï do – Haïnh phuùc</t>
        </is>
      </c>
    </row>
    <row r="4" ht="34.5" customHeight="1">
      <c r="A4" s="520" t="n">
        <v>1083</v>
      </c>
      <c r="B4" s="521" t="inlineStr">
        <is>
          <t>/CVCK-2014</t>
        </is>
      </c>
      <c r="C4" s="516" t="inlineStr">
        <is>
          <t>------*--*------</t>
        </is>
      </c>
    </row>
    <row r="5" ht="15.75" customHeight="1">
      <c r="C5" s="522" t="inlineStr">
        <is>
          <t>Bình Dương, ngày     19     tháng  08      năm 2014</t>
        </is>
      </c>
    </row>
    <row r="6" ht="9" customHeight="1">
      <c r="C6" s="523" t="n"/>
    </row>
    <row r="7" ht="26.25" customHeight="1">
      <c r="A7" s="524" t="inlineStr">
        <is>
          <t>CÔNG VĂN CAM KẾT</t>
        </is>
      </c>
      <c r="L7" s="523" t="n"/>
    </row>
    <row r="8" ht="19.5" customHeight="1">
      <c r="A8" s="525" t="inlineStr">
        <is>
          <t>(V/v: Nguyên phụ liệu nhập về chỉ để sản xuất hàng xuất khẩu)</t>
        </is>
      </c>
    </row>
    <row r="9" ht="19.5" customHeight="1">
      <c r="B9" s="526" t="inlineStr">
        <is>
          <t>KÍNH GÔÛI:     LAÕNH ÑAÏO CHI CUÏC HAÛI QUAN SOÙNGTHAÀN</t>
        </is>
      </c>
    </row>
    <row r="10" ht="15" customHeight="1">
      <c r="B10" s="527" t="n"/>
    </row>
    <row r="11" ht="15.75" customHeight="1">
      <c r="A11" s="528" t="inlineStr">
        <is>
          <t xml:space="preserve">                   Coâng ty TNHH KYÕ NGHEÄ GOÃ HOA NEÙT (Teân giao dòch – WANEK FURNITURE </t>
        </is>
      </c>
      <c r="B11" s="528" t="n"/>
      <c r="C11" s="528" t="n"/>
    </row>
    <row r="12" ht="15.75" customHeight="1">
      <c r="A12" s="528" t="inlineStr">
        <is>
          <t xml:space="preserve">LIMITED LIABILITY COMPANY) laø Doanh nghieäp coù 100% voán ñaàu tö nöôùc ngoaøi. Truï sôû </t>
        </is>
      </c>
      <c r="B12" s="528" t="n"/>
      <c r="C12" s="528" t="n"/>
    </row>
    <row r="13" ht="15.75" customHeight="1">
      <c r="A13" s="528" t="inlineStr">
        <is>
          <t>vaø nhaø xöôûng ñaët taïi: Số 11, VSIP II, đường số 6, Khu công nghiệp Việt Nam–Singapore II,</t>
        </is>
      </c>
      <c r="B13" s="528" t="n"/>
      <c r="C13" s="528" t="n"/>
    </row>
    <row r="14" ht="15.75" customHeight="1">
      <c r="A14" s="529" t="inlineStr">
        <is>
          <t>KLP Công nghiệp –DV - Đô thị Bình Dương, P. Hòa Phú, TP.Thủ Dầu Một,  Tỉnh Bình Dương</t>
        </is>
      </c>
      <c r="B14" s="528" t="n"/>
      <c r="C14" s="528" t="n"/>
    </row>
    <row r="15" ht="15.75" customHeight="1">
      <c r="A15" s="530" t="inlineStr">
        <is>
          <t>Ñöôïc thaønh laäp theo Giaáp pheùp ñaàu tö soá: 461043000383 ngaøy 19 thaùng 06 naêm 2008</t>
        </is>
      </c>
      <c r="B15" s="528" t="n"/>
      <c r="C15" s="528" t="n"/>
    </row>
    <row r="16" ht="15.75" customHeight="1">
      <c r="A16" s="528" t="n"/>
      <c r="B16" s="528" t="n"/>
      <c r="C16" s="528" t="n"/>
    </row>
    <row r="17" ht="15.75" customHeight="1">
      <c r="A17" s="530" t="inlineStr">
        <is>
          <t xml:space="preserve">                 Muïc tieâu vaø phaïm vi kinh doanh cuûa Doanh nghieäp: chuyeân saûn xuaát, gia coâng ñoà </t>
        </is>
      </c>
      <c r="B17" s="528" t="n"/>
      <c r="C17" s="528" t="n"/>
    </row>
    <row r="18" ht="15.75" customHeight="1">
      <c r="A18" s="530" t="inlineStr">
        <is>
          <t xml:space="preserve">noäi ngoaïi thaát hoaëc keát hôïp giöõa goã, vaûi, da, kính, kim loaïi, ñaù; saûn xuaát gia coâng caùc phuï </t>
        </is>
      </c>
      <c r="B18" s="528" t="n"/>
      <c r="C18" s="528" t="n"/>
    </row>
    <row r="19" ht="15.75" customHeight="1">
      <c r="A19" s="530" t="inlineStr">
        <is>
          <t>tuøng, chi tieát baèng kim loaïi, vaø caùc phuï kieän khaùc coù lieân quan.</t>
        </is>
      </c>
      <c r="B19" s="528" t="n"/>
      <c r="C19" s="528" t="n"/>
    </row>
    <row r="20" ht="15.75" customHeight="1">
      <c r="A20" s="530" t="inlineStr">
        <is>
          <t xml:space="preserve">                Coâng ty chuùng toâi coù kyù hôïp ñoàng nhaäp khaåu soá </t>
        </is>
      </c>
      <c r="B20" s="528" t="n"/>
      <c r="C20" s="528" t="n"/>
      <c r="I20" s="531">
        <f>'TK SXXK'!S11</f>
        <v/>
      </c>
      <c r="J20" s="532" t="inlineStr">
        <is>
          <t>ngaøy</t>
        </is>
      </c>
      <c r="K20" s="533">
        <f>'TK SXXK'!T12</f>
        <v/>
      </c>
    </row>
    <row r="21" ht="23.25" customHeight="1">
      <c r="A21" s="530" t="inlineStr">
        <is>
          <t xml:space="preserve">vôùi coâng ty  </t>
        </is>
      </c>
      <c r="B21" s="534">
        <f>'TK SXXK'!B15</f>
        <v/>
      </c>
      <c r="C21" s="528" t="n"/>
      <c r="J21" s="535" t="n"/>
      <c r="K21" s="535" t="n"/>
    </row>
    <row r="22" ht="15.75" customHeight="1">
      <c r="A22" s="528" t="inlineStr">
        <is>
          <t xml:space="preserve">vôùi chi tieát nhö sau: </t>
        </is>
      </c>
      <c r="B22" s="528" t="n"/>
      <c r="C22" s="528" t="n"/>
    </row>
    <row r="23" ht="15.75" customHeight="1">
      <c r="A23" s="536" t="inlineStr">
        <is>
          <t>-</t>
        </is>
      </c>
      <c r="B23" s="530" t="inlineStr">
        <is>
          <t xml:space="preserve">Teân haøng                                         </t>
        </is>
      </c>
      <c r="C23" s="528" t="inlineStr">
        <is>
          <t>:</t>
        </is>
      </c>
      <c r="H23" s="537" t="inlineStr">
        <is>
          <t>Vải.</t>
        </is>
      </c>
      <c r="I23" s="538" t="n"/>
    </row>
    <row r="24" ht="15.75" customHeight="1">
      <c r="A24" s="536" t="inlineStr">
        <is>
          <t>-</t>
        </is>
      </c>
      <c r="B24" s="530" t="inlineStr">
        <is>
          <t xml:space="preserve">Trò giaù hôïp ñoàng                             </t>
        </is>
      </c>
      <c r="C24" s="528" t="inlineStr">
        <is>
          <t>:</t>
        </is>
      </c>
      <c r="H24" s="539">
        <f>'TK SXXK'!T28</f>
        <v/>
      </c>
    </row>
    <row r="25" ht="15.75" customHeight="1">
      <c r="A25" s="536" t="inlineStr">
        <is>
          <t>-</t>
        </is>
      </c>
      <c r="B25" s="530" t="inlineStr">
        <is>
          <t xml:space="preserve">Vaän ñôn soá                                      </t>
        </is>
      </c>
      <c r="C25" s="528" t="inlineStr">
        <is>
          <t>:</t>
        </is>
      </c>
      <c r="H25" s="538">
        <f>'TK SXXK'!S15</f>
        <v/>
      </c>
    </row>
    <row r="26" ht="15.75" customHeight="1">
      <c r="A26" s="536" t="inlineStr">
        <is>
          <t>-</t>
        </is>
      </c>
      <c r="B26" s="530" t="inlineStr">
        <is>
          <t xml:space="preserve">Soá kieän                                             </t>
        </is>
      </c>
      <c r="C26" s="528" t="inlineStr">
        <is>
          <t>:</t>
        </is>
      </c>
      <c r="H26" s="540">
        <f>'TK SXXK'!D31</f>
        <v/>
      </c>
    </row>
    <row r="27" ht="15.75" customHeight="1">
      <c r="A27" s="536" t="inlineStr">
        <is>
          <t>-</t>
        </is>
      </c>
      <c r="B27" s="530" t="inlineStr">
        <is>
          <t xml:space="preserve">Troïng löôïng                                     </t>
        </is>
      </c>
      <c r="C27" s="528" t="inlineStr">
        <is>
          <t>:</t>
        </is>
      </c>
      <c r="H27" s="541">
        <f>'TK SXXK'!F31</f>
        <v/>
      </c>
      <c r="K27" s="542" t="n"/>
    </row>
    <row r="28">
      <c r="A28" s="543" t="n"/>
      <c r="B28" s="543" t="n"/>
      <c r="C28" s="543" t="n"/>
    </row>
    <row r="29" ht="15.75" customHeight="1">
      <c r="A29" s="544" t="inlineStr">
        <is>
          <t xml:space="preserve">                  Coâng ty chuùng toâi cam keát:</t>
        </is>
      </c>
      <c r="B29" s="528" t="n"/>
      <c r="C29" s="528" t="n"/>
      <c r="D29" s="545" t="n"/>
      <c r="E29" s="545" t="n"/>
      <c r="F29" s="545" t="n"/>
      <c r="G29" s="545" t="n"/>
      <c r="H29" s="545" t="n"/>
    </row>
    <row r="30">
      <c r="A30" s="528" t="inlineStr">
        <is>
          <t xml:space="preserve"> - Nguyeân phuï lieäu nhaäp veà chæ nhaèm muïc ñích phuïc vuï saûn xuaát cuûa coâng ty</t>
        </is>
      </c>
      <c r="B30" s="528" t="n"/>
      <c r="C30" s="528" t="n"/>
      <c r="D30" s="528" t="n"/>
      <c r="E30" s="528" t="n"/>
      <c r="F30" s="528" t="n"/>
      <c r="G30" s="528" t="n"/>
      <c r="H30" s="528" t="n"/>
      <c r="I30" s="543" t="n"/>
    </row>
    <row r="31">
      <c r="A31" s="528" t="inlineStr">
        <is>
          <t xml:space="preserve"> - Saûn phaåm saûn xuaát nhaèm muïc ñích xuaát khaåu khoâng tieâu thuï taïi thò tröôøng Vieät Nam.</t>
        </is>
      </c>
      <c r="B31" s="528" t="n"/>
      <c r="C31" s="528" t="n"/>
      <c r="D31" s="528" t="n"/>
      <c r="E31" s="528" t="n"/>
      <c r="F31" s="528" t="n"/>
      <c r="G31" s="528" t="n"/>
      <c r="H31" s="528" t="n"/>
      <c r="I31" s="543" t="n"/>
    </row>
    <row r="32" ht="6.75" customHeight="1">
      <c r="A32" s="528" t="n"/>
      <c r="B32" s="528" t="n"/>
      <c r="C32" s="528" t="n"/>
      <c r="D32" s="528" t="n"/>
      <c r="E32" s="528" t="n"/>
      <c r="F32" s="528" t="n"/>
      <c r="G32" s="528" t="n"/>
      <c r="H32" s="528" t="n"/>
      <c r="I32" s="543" t="n"/>
    </row>
    <row r="33">
      <c r="A33" s="530" t="inlineStr">
        <is>
          <t xml:space="preserve">         Neáu coù gì sai traùi Coâng ty chuùng toâi xin chòu hoaøn toaøn traùch nhieäm tröôùc Phaùp luaät vaø </t>
        </is>
      </c>
      <c r="B33" s="528" t="n"/>
      <c r="C33" s="528" t="n"/>
      <c r="D33" s="528" t="n"/>
      <c r="E33" s="528" t="n"/>
      <c r="F33" s="528" t="n"/>
      <c r="G33" s="528" t="n"/>
      <c r="H33" s="528" t="n"/>
      <c r="I33" s="543" t="n"/>
    </row>
    <row r="34">
      <c r="A34" s="530" t="inlineStr">
        <is>
          <t>caùc quy ñònh khaùc cuûa Haûi Quan.</t>
        </is>
      </c>
      <c r="B34" s="528" t="n"/>
      <c r="C34" s="528" t="n"/>
      <c r="D34" s="528" t="n"/>
      <c r="E34" s="528" t="n"/>
      <c r="F34" s="528" t="n"/>
      <c r="G34" s="528" t="n"/>
      <c r="H34" s="528" t="n"/>
      <c r="I34" s="543" t="n"/>
    </row>
    <row r="35" ht="32.25" customHeight="1">
      <c r="A35" s="528" t="inlineStr">
        <is>
          <t>Chaân thaønh caûm ôn vaø traân troïng kính chaøo!</t>
        </is>
      </c>
      <c r="B35" s="528" t="n"/>
      <c r="C35" s="528" t="n"/>
      <c r="D35" s="528" t="n"/>
      <c r="E35" s="528" t="n"/>
      <c r="F35" s="528" t="n"/>
      <c r="G35" s="528" t="n"/>
      <c r="H35" s="528" t="n"/>
      <c r="I35" s="543" t="n"/>
    </row>
    <row r="36" ht="17.25" customHeight="1">
      <c r="A36" s="543" t="n"/>
      <c r="B36" s="543" t="n"/>
      <c r="D36" s="543" t="n"/>
      <c r="E36" s="543" t="n"/>
      <c r="F36" s="543" t="n"/>
      <c r="G36" s="543" t="n"/>
      <c r="H36" s="546" t="inlineStr">
        <is>
          <t xml:space="preserve">COÂNG TY TNHH KYÕ NGHEÄ GOÃ HOA NEÙT </t>
        </is>
      </c>
      <c r="I36" s="546" t="n"/>
      <c r="J36" s="546" t="n"/>
    </row>
    <row r="37" ht="17.25" customHeight="1">
      <c r="A37" s="543" t="n"/>
      <c r="B37" s="543" t="n"/>
      <c r="D37" s="543" t="n"/>
      <c r="E37" s="543" t="n"/>
      <c r="F37" s="543" t="n"/>
      <c r="G37" s="543" t="n"/>
      <c r="H37" s="547" t="n"/>
    </row>
    <row r="38">
      <c r="A38" s="543" t="n"/>
      <c r="B38" s="543" t="n"/>
      <c r="C38" s="543" t="n"/>
      <c r="D38" s="543" t="n"/>
      <c r="E38" s="543" t="n"/>
      <c r="F38" s="543" t="n"/>
      <c r="G38" s="543" t="n"/>
      <c r="H38" s="543" t="n"/>
      <c r="I38" s="543" t="n"/>
    </row>
    <row r="39">
      <c r="A39" s="543" t="n"/>
      <c r="B39" s="543" t="n"/>
      <c r="C39" s="543" t="n"/>
      <c r="D39" s="543" t="n"/>
      <c r="E39" s="543" t="n"/>
      <c r="F39" s="543" t="n"/>
      <c r="G39" s="543" t="n"/>
      <c r="H39" s="543" t="n"/>
      <c r="I39" s="543" t="n"/>
    </row>
    <row r="40"/>
    <row r="41"/>
    <row r="42" ht="15" customHeight="1">
      <c r="H42" s="548" t="n"/>
    </row>
  </sheetData>
  <mergeCells count="14">
    <mergeCell ref="C4:J4"/>
    <mergeCell ref="C2:K2"/>
    <mergeCell ref="H25:I25"/>
    <mergeCell ref="A2:B2"/>
    <mergeCell ref="C5:K5"/>
    <mergeCell ref="H24:I24"/>
    <mergeCell ref="A7:K7"/>
    <mergeCell ref="H26:I26"/>
    <mergeCell ref="A8:K8"/>
    <mergeCell ref="C3:K3"/>
    <mergeCell ref="A3:B3"/>
    <mergeCell ref="H27:I27"/>
    <mergeCell ref="H42:K42"/>
    <mergeCell ref="H37:K3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66"/>
  <sheetViews>
    <sheetView workbookViewId="0">
      <selection activeCell="A1" sqref="A1"/>
    </sheetView>
  </sheetViews>
  <sheetFormatPr baseColWidth="8" defaultRowHeight="15"/>
  <cols>
    <col width="3.875" customWidth="1" min="1" max="1"/>
    <col width="26.875" customWidth="1" min="2" max="2"/>
    <col width="10.125" customWidth="1" min="3" max="3"/>
    <col width="29.875" customWidth="1" min="4" max="4"/>
    <col hidden="1" width="11.25" customWidth="1" min="5" max="5"/>
    <col width="13.5" customWidth="1" min="6" max="6"/>
    <col width="10.75" customWidth="1" min="7" max="7"/>
    <col width="8" customWidth="1" min="9" max="9"/>
  </cols>
  <sheetData>
    <row r="1" ht="14.25" customHeight="1">
      <c r="B1" s="549" t="inlineStr">
        <is>
          <t>BẢNG ĐĂNG KÝ DANH MỤC NGUYÊN VẬT LIỆU NHẬP KHẨU</t>
        </is>
      </c>
    </row>
    <row r="2" ht="14.25" customHeight="1">
      <c r="B2" s="549" t="inlineStr">
        <is>
          <t>ĐỂ TRỰC TIẾP SẢN XUẤT HÀNG XUẤT KHẨU</t>
        </is>
      </c>
    </row>
    <row r="3">
      <c r="B3" s="550" t="n"/>
      <c r="C3" s="551" t="n"/>
      <c r="D3" s="550" t="n"/>
      <c r="E3" s="551" t="n"/>
      <c r="F3" s="551" t="n"/>
      <c r="G3" s="552" t="inlineStr">
        <is>
          <t>Mẫu: 06/ĐKNLNK/2006</t>
        </is>
      </c>
    </row>
    <row r="4">
      <c r="A4" s="553" t="n"/>
      <c r="B4" s="554" t="n"/>
      <c r="C4" s="553" t="n"/>
      <c r="D4" s="554" t="n"/>
      <c r="E4" s="555" t="n"/>
      <c r="F4" s="555" t="n"/>
      <c r="G4" s="555" t="n"/>
      <c r="H4" s="553" t="n"/>
    </row>
    <row r="5">
      <c r="A5" s="553" t="n"/>
      <c r="B5" s="556" t="n"/>
      <c r="C5" s="553" t="n"/>
      <c r="D5" s="556" t="n"/>
      <c r="E5" s="551" t="n"/>
      <c r="F5" s="551" t="n"/>
      <c r="G5" s="555" t="n"/>
      <c r="H5" s="553" t="n"/>
    </row>
    <row r="6">
      <c r="A6" s="553" t="n"/>
      <c r="B6" s="556" t="n"/>
      <c r="C6" s="554" t="inlineStr">
        <is>
          <t>ngày………tháng……..năm………</t>
        </is>
      </c>
      <c r="D6" s="556" t="n"/>
      <c r="E6" s="555" t="n"/>
      <c r="F6" s="555" t="n"/>
      <c r="G6" s="551" t="n"/>
      <c r="H6" s="553" t="n"/>
    </row>
    <row r="7"/>
    <row r="8" ht="25.5" customHeight="1">
      <c r="A8" s="557" t="inlineStr">
        <is>
          <t>STT</t>
        </is>
      </c>
      <c r="B8" s="557" t="inlineStr">
        <is>
          <t>Tên nguyên phụ liệu</t>
        </is>
      </c>
      <c r="C8" s="557" t="inlineStr">
        <is>
          <t>Mã NPL</t>
        </is>
      </c>
      <c r="D8" s="557" t="inlineStr">
        <is>
          <t>Tên nguyên phụ liệu</t>
        </is>
      </c>
      <c r="E8" s="557" t="inlineStr">
        <is>
          <t>Mã HS</t>
        </is>
      </c>
      <c r="F8" s="558" t="inlineStr">
        <is>
          <t>Mã HS 2012</t>
        </is>
      </c>
      <c r="G8" s="557" t="inlineStr">
        <is>
          <t>Đơn vị tính</t>
        </is>
      </c>
      <c r="H8" s="557" t="inlineStr">
        <is>
          <t>Nguyên phụ liệu chính</t>
        </is>
      </c>
    </row>
    <row r="9">
      <c r="A9" s="559" t="inlineStr">
        <is>
          <t>(1)</t>
        </is>
      </c>
      <c r="B9" s="559" t="inlineStr">
        <is>
          <t>(2)</t>
        </is>
      </c>
      <c r="C9" s="559" t="inlineStr">
        <is>
          <t>(3)</t>
        </is>
      </c>
      <c r="D9" s="559" t="inlineStr">
        <is>
          <t>(2)</t>
        </is>
      </c>
      <c r="E9" s="559" t="inlineStr">
        <is>
          <t>(4)</t>
        </is>
      </c>
      <c r="F9" s="560" t="n"/>
      <c r="G9" s="559" t="inlineStr">
        <is>
          <t>(5)</t>
        </is>
      </c>
      <c r="H9" s="559" t="inlineStr">
        <is>
          <t>(6)</t>
        </is>
      </c>
    </row>
    <row r="10">
      <c r="A10" s="561" t="n">
        <v>1</v>
      </c>
      <c r="B10" s="562" t="inlineStr">
        <is>
          <t>Vải 43% polyester 57% rayon</t>
        </is>
      </c>
      <c r="C10" s="561" t="n">
        <v>1001</v>
      </c>
      <c r="D10" s="562" t="inlineStr">
        <is>
          <t>Vải 43% polyester 57% rayon</t>
        </is>
      </c>
      <c r="E10" s="561" t="n">
        <v>5801360000</v>
      </c>
      <c r="F10" s="563" t="n"/>
      <c r="G10" s="561" t="inlineStr">
        <is>
          <t>M2</t>
        </is>
      </c>
      <c r="H10" s="564" t="n">
        <v>0.12</v>
      </c>
    </row>
    <row r="11">
      <c r="A11" s="561">
        <f>A10+1</f>
        <v/>
      </c>
      <c r="B11" s="562" t="inlineStr">
        <is>
          <t>Vải 100% polyester</t>
        </is>
      </c>
      <c r="C11" s="561" t="n">
        <v>1002</v>
      </c>
      <c r="D11" s="562" t="inlineStr">
        <is>
          <t>Vải 100% polyester</t>
        </is>
      </c>
      <c r="E11" s="561" t="n">
        <v>5801340000</v>
      </c>
      <c r="F11" s="563" t="inlineStr">
        <is>
          <t>5801.37.90</t>
        </is>
      </c>
      <c r="G11" s="561" t="inlineStr">
        <is>
          <t>M2</t>
        </is>
      </c>
      <c r="H11" s="564" t="n">
        <v>0.12</v>
      </c>
    </row>
    <row r="12">
      <c r="A12" s="565">
        <f>A11+1</f>
        <v/>
      </c>
      <c r="B12" s="566" t="inlineStr">
        <is>
          <t>Vải 100% polyester</t>
        </is>
      </c>
      <c r="C12" s="565" t="inlineStr">
        <is>
          <t>1002VN</t>
        </is>
      </c>
      <c r="D12" s="566" t="inlineStr">
        <is>
          <t>Vải 100% polyester</t>
        </is>
      </c>
      <c r="E12" s="565" t="n">
        <v>5801340000</v>
      </c>
      <c r="F12" s="567" t="inlineStr">
        <is>
          <t>VN</t>
        </is>
      </c>
      <c r="G12" s="565" t="inlineStr">
        <is>
          <t>M2</t>
        </is>
      </c>
      <c r="H12" s="568" t="n"/>
    </row>
    <row r="13">
      <c r="A13" s="561">
        <f>A12+1</f>
        <v/>
      </c>
      <c r="B13" s="562" t="inlineStr">
        <is>
          <t>Vải 100% terylene</t>
        </is>
      </c>
      <c r="C13" s="561" t="n">
        <v>1003</v>
      </c>
      <c r="D13" s="562" t="inlineStr">
        <is>
          <t>Vải 100% terylene</t>
        </is>
      </c>
      <c r="E13" s="561" t="n">
        <v>5801340000</v>
      </c>
      <c r="F13" s="563" t="n"/>
      <c r="G13" s="561" t="inlineStr">
        <is>
          <t>M2</t>
        </is>
      </c>
      <c r="H13" s="564" t="n">
        <v>0.12</v>
      </c>
    </row>
    <row r="14">
      <c r="A14" s="561">
        <f>A13+1</f>
        <v/>
      </c>
      <c r="B14" s="562" t="inlineStr">
        <is>
          <t>Vải 49% polyester 51% acrylic</t>
        </is>
      </c>
      <c r="C14" s="561" t="n">
        <v>1004</v>
      </c>
      <c r="D14" s="562" t="inlineStr">
        <is>
          <t>Vải 49% polyester 51% acrylic</t>
        </is>
      </c>
      <c r="E14" s="561" t="n">
        <v>5801360000</v>
      </c>
      <c r="F14" s="563" t="n"/>
      <c r="G14" s="561" t="inlineStr">
        <is>
          <t>M2</t>
        </is>
      </c>
      <c r="H14" s="564" t="n">
        <v>0.12</v>
      </c>
    </row>
    <row r="15">
      <c r="A15" s="561">
        <f>A14+1</f>
        <v/>
      </c>
      <c r="B15" s="562" t="inlineStr">
        <is>
          <t>Vải 93% polyester 7% cotton</t>
        </is>
      </c>
      <c r="C15" s="561" t="n">
        <v>1005</v>
      </c>
      <c r="D15" s="562" t="inlineStr">
        <is>
          <t>Vải 93% polyester 7% cotton</t>
        </is>
      </c>
      <c r="E15" s="561" t="n">
        <v>5512110000</v>
      </c>
      <c r="F15" s="563" t="n"/>
      <c r="G15" s="561" t="inlineStr">
        <is>
          <t>M2</t>
        </is>
      </c>
      <c r="H15" s="564" t="n">
        <v>0.12</v>
      </c>
    </row>
    <row r="16">
      <c r="A16" s="561">
        <f>A15+1</f>
        <v/>
      </c>
      <c r="B16" s="562" t="inlineStr">
        <is>
          <t>Giả da PVC</t>
        </is>
      </c>
      <c r="C16" s="561" t="n">
        <v>1006</v>
      </c>
      <c r="D16" s="562" t="inlineStr">
        <is>
          <t>Giả da PVC</t>
        </is>
      </c>
      <c r="E16" s="561" t="n">
        <v>5903909090</v>
      </c>
      <c r="F16" s="569" t="inlineStr">
        <is>
          <t>5903.10.00</t>
        </is>
      </c>
      <c r="G16" s="561" t="inlineStr">
        <is>
          <t>M2</t>
        </is>
      </c>
      <c r="H16" s="564" t="n">
        <v>0.12</v>
      </c>
    </row>
    <row r="17">
      <c r="A17" s="561">
        <f>A16+1</f>
        <v/>
      </c>
      <c r="B17" s="562" t="inlineStr">
        <is>
          <t>Da thuộc</t>
        </is>
      </c>
      <c r="C17" s="561" t="n">
        <v>1007</v>
      </c>
      <c r="D17" s="562" t="inlineStr">
        <is>
          <t>Da thuộc</t>
        </is>
      </c>
      <c r="E17" s="561" t="n">
        <v>4107990000</v>
      </c>
      <c r="F17" s="563" t="n"/>
      <c r="G17" s="561" t="inlineStr">
        <is>
          <t>M2</t>
        </is>
      </c>
      <c r="H17" s="564" t="n">
        <v>0.1</v>
      </c>
    </row>
    <row r="18">
      <c r="A18" s="561">
        <f>A17+1</f>
        <v/>
      </c>
      <c r="B18" s="562" t="inlineStr">
        <is>
          <t>Chỉ</t>
        </is>
      </c>
      <c r="C18" s="561" t="n">
        <v>1008</v>
      </c>
      <c r="D18" s="562" t="inlineStr">
        <is>
          <t>Chỉ</t>
        </is>
      </c>
      <c r="E18" s="561" t="n">
        <v>5508100000</v>
      </c>
      <c r="F18" s="563" t="n"/>
      <c r="G18" s="561" t="inlineStr">
        <is>
          <t>MET</t>
        </is>
      </c>
      <c r="H18" s="564" t="n">
        <v>0.05</v>
      </c>
    </row>
    <row r="19">
      <c r="A19" s="561">
        <f>A18+1</f>
        <v/>
      </c>
      <c r="B19" s="566" t="inlineStr">
        <is>
          <t>Chỉ</t>
        </is>
      </c>
      <c r="C19" s="565" t="inlineStr">
        <is>
          <t>1008 VN</t>
        </is>
      </c>
      <c r="D19" s="566" t="inlineStr">
        <is>
          <t>Chỉ</t>
        </is>
      </c>
      <c r="E19" s="565" t="n">
        <v>5508100000</v>
      </c>
      <c r="F19" s="567" t="inlineStr">
        <is>
          <t>VN</t>
        </is>
      </c>
      <c r="G19" s="565" t="inlineStr">
        <is>
          <t>MET</t>
        </is>
      </c>
      <c r="H19" s="568" t="n"/>
    </row>
    <row r="20">
      <c r="A20" s="561">
        <f>A19+1</f>
        <v/>
      </c>
      <c r="B20" s="562" t="inlineStr">
        <is>
          <t>Thùng carton</t>
        </is>
      </c>
      <c r="C20" s="561" t="n">
        <v>1009</v>
      </c>
      <c r="D20" s="562" t="inlineStr">
        <is>
          <t>Thùng carton</t>
        </is>
      </c>
      <c r="E20" s="561" t="n">
        <v>4819100000</v>
      </c>
      <c r="F20" s="563" t="n"/>
      <c r="G20" s="561" t="inlineStr">
        <is>
          <t>CAI</t>
        </is>
      </c>
      <c r="H20" s="564" t="n">
        <v>0.18</v>
      </c>
    </row>
    <row r="21">
      <c r="A21" s="561">
        <f>A20+1</f>
        <v/>
      </c>
      <c r="B21" s="562" t="inlineStr">
        <is>
          <t>Miếng đệm</t>
        </is>
      </c>
      <c r="C21" s="561" t="n">
        <v>1010</v>
      </c>
      <c r="D21" s="562" t="inlineStr">
        <is>
          <t>Miếng đệm</t>
        </is>
      </c>
      <c r="E21" s="561" t="n">
        <v>5602900000</v>
      </c>
      <c r="F21" s="563" t="inlineStr">
        <is>
          <t>5602.90.00</t>
        </is>
      </c>
      <c r="G21" s="561" t="inlineStr">
        <is>
          <t>M2</t>
        </is>
      </c>
      <c r="H21" s="564" t="n">
        <v>0.12</v>
      </c>
    </row>
    <row r="22">
      <c r="A22" s="561">
        <f>A21+1</f>
        <v/>
      </c>
      <c r="B22" s="562" t="inlineStr">
        <is>
          <t>Miếng lót nệm ghế</t>
        </is>
      </c>
      <c r="C22" s="561" t="n">
        <v>1011</v>
      </c>
      <c r="D22" s="562" t="inlineStr">
        <is>
          <t>Miếng lót nệm ghế</t>
        </is>
      </c>
      <c r="E22" s="561" t="n">
        <v>5603130000</v>
      </c>
      <c r="F22" s="563" t="n"/>
      <c r="G22" s="561" t="inlineStr">
        <is>
          <t>M2</t>
        </is>
      </c>
      <c r="H22" s="564" t="n">
        <v>0.12</v>
      </c>
    </row>
    <row r="23">
      <c r="A23" s="561">
        <f>A22+1</f>
        <v/>
      </c>
      <c r="B23" s="562" t="inlineStr">
        <is>
          <t>Dây kéo</t>
        </is>
      </c>
      <c r="C23" s="561" t="n">
        <v>1012</v>
      </c>
      <c r="D23" s="562" t="inlineStr">
        <is>
          <t>Dây kéo</t>
        </is>
      </c>
      <c r="E23" s="561" t="n">
        <v>9607110000</v>
      </c>
      <c r="F23" s="563" t="inlineStr">
        <is>
          <t>9607.11.00</t>
        </is>
      </c>
      <c r="G23" s="561" t="inlineStr">
        <is>
          <t>MET</t>
        </is>
      </c>
      <c r="H23" s="564" t="n">
        <v>0.2</v>
      </c>
    </row>
    <row r="24">
      <c r="A24" s="561">
        <f>A23+1</f>
        <v/>
      </c>
      <c r="B24" s="562" t="inlineStr">
        <is>
          <t>Đầu dây kéo</t>
        </is>
      </c>
      <c r="C24" s="561" t="n">
        <v>1013</v>
      </c>
      <c r="D24" s="562" t="inlineStr">
        <is>
          <t>Đầu dây kéo</t>
        </is>
      </c>
      <c r="E24" s="561" t="n">
        <v>9607200000</v>
      </c>
      <c r="F24" s="563" t="inlineStr">
        <is>
          <t>9607.20.00</t>
        </is>
      </c>
      <c r="G24" s="561" t="inlineStr">
        <is>
          <t>CAI</t>
        </is>
      </c>
      <c r="H24" s="564" t="n">
        <v>0.15</v>
      </c>
    </row>
    <row r="25">
      <c r="A25" s="561">
        <f>A24+1</f>
        <v/>
      </c>
      <c r="B25" s="562" t="inlineStr">
        <is>
          <t>Dây thun</t>
        </is>
      </c>
      <c r="C25" s="561" t="n">
        <v>1014</v>
      </c>
      <c r="D25" s="562" t="inlineStr">
        <is>
          <t>Dây thun</t>
        </is>
      </c>
      <c r="E25" s="561" t="n">
        <v>5604100000</v>
      </c>
      <c r="F25" s="563" t="n"/>
      <c r="G25" s="561" t="inlineStr">
        <is>
          <t>MET</t>
        </is>
      </c>
      <c r="H25" s="564" t="n">
        <v>0.05</v>
      </c>
    </row>
    <row r="26">
      <c r="A26" s="561">
        <f>A25+1</f>
        <v/>
      </c>
      <c r="B26" s="562" t="inlineStr">
        <is>
          <t>Dây nẹp viền</t>
        </is>
      </c>
      <c r="C26" s="561" t="n">
        <v>1015</v>
      </c>
      <c r="D26" s="562" t="inlineStr">
        <is>
          <t>Dây nẹp viền</t>
        </is>
      </c>
      <c r="E26" s="561" t="n">
        <v>5607909000</v>
      </c>
      <c r="F26" s="563" t="inlineStr">
        <is>
          <t>5607.90.90</t>
        </is>
      </c>
      <c r="G26" s="561" t="inlineStr">
        <is>
          <t>MET</t>
        </is>
      </c>
      <c r="H26" s="564" t="n">
        <v>0.12</v>
      </c>
    </row>
    <row r="27">
      <c r="A27" s="561">
        <f>A26+1</f>
        <v/>
      </c>
      <c r="B27" s="562" t="inlineStr">
        <is>
          <t>Dây gân</t>
        </is>
      </c>
      <c r="C27" s="561" t="n">
        <v>1016</v>
      </c>
      <c r="D27" s="562" t="inlineStr">
        <is>
          <t>Dây gân</t>
        </is>
      </c>
      <c r="E27" s="561" t="n">
        <v>5607909000</v>
      </c>
      <c r="F27" s="563" t="inlineStr">
        <is>
          <t>5607.90.90</t>
        </is>
      </c>
      <c r="G27" s="561" t="inlineStr">
        <is>
          <t>MET</t>
        </is>
      </c>
      <c r="H27" s="564" t="n">
        <v>0.12</v>
      </c>
    </row>
    <row r="28">
      <c r="A28" s="561">
        <f>A27+1</f>
        <v/>
      </c>
      <c r="B28" s="562" t="inlineStr">
        <is>
          <t>Miếng dán gai</t>
        </is>
      </c>
      <c r="C28" s="561" t="n">
        <v>1017</v>
      </c>
      <c r="D28" s="562" t="inlineStr">
        <is>
          <t>Miếng dán gai</t>
        </is>
      </c>
      <c r="E28" s="561" t="n">
        <v>5906999000</v>
      </c>
      <c r="F28" s="563" t="inlineStr">
        <is>
          <t>5906.99.90</t>
        </is>
      </c>
      <c r="G28" s="561" t="inlineStr">
        <is>
          <t>MET</t>
        </is>
      </c>
      <c r="H28" s="564" t="n">
        <v>0.05</v>
      </c>
    </row>
    <row r="29">
      <c r="A29" s="561">
        <f>A28+1</f>
        <v/>
      </c>
      <c r="B29" s="562" t="inlineStr">
        <is>
          <t>Miếng dán lông</t>
        </is>
      </c>
      <c r="C29" s="561" t="n">
        <v>1018</v>
      </c>
      <c r="D29" s="562" t="inlineStr">
        <is>
          <t>Miếng dán lông</t>
        </is>
      </c>
      <c r="E29" s="561" t="n">
        <v>5906999000</v>
      </c>
      <c r="F29" s="563" t="inlineStr">
        <is>
          <t>5906.99.90</t>
        </is>
      </c>
      <c r="G29" s="561" t="inlineStr">
        <is>
          <t>MET</t>
        </is>
      </c>
      <c r="H29" s="564" t="n">
        <v>0.05</v>
      </c>
    </row>
    <row r="30">
      <c r="A30" s="561">
        <f>A29+1</f>
        <v/>
      </c>
      <c r="B30" s="562" t="inlineStr">
        <is>
          <t>Vải 90% polyester 10% cotton</t>
        </is>
      </c>
      <c r="C30" s="561" t="n">
        <v>1019</v>
      </c>
      <c r="D30" s="562" t="inlineStr">
        <is>
          <t>Vải 90% polyester 10% cotton</t>
        </is>
      </c>
      <c r="E30" s="561" t="n">
        <v>5512110000</v>
      </c>
      <c r="F30" s="563" t="n"/>
      <c r="G30" s="561" t="inlineStr">
        <is>
          <t>M2</t>
        </is>
      </c>
      <c r="H30" s="564" t="n">
        <v>0.12</v>
      </c>
    </row>
    <row r="31">
      <c r="A31" s="561">
        <f>A30+1</f>
        <v/>
      </c>
      <c r="B31" s="570" t="inlineStr">
        <is>
          <t>Gòn</t>
        </is>
      </c>
      <c r="C31" s="571" t="n">
        <v>1020</v>
      </c>
      <c r="D31" s="570" t="inlineStr">
        <is>
          <t>Gòn</t>
        </is>
      </c>
      <c r="E31" s="572" t="inlineStr">
        <is>
          <t>VN</t>
        </is>
      </c>
      <c r="F31" s="573" t="n"/>
      <c r="G31" s="572" t="inlineStr">
        <is>
          <t>M2</t>
        </is>
      </c>
      <c r="H31" s="574" t="n"/>
    </row>
    <row r="32">
      <c r="A32" s="561">
        <f>A31+1</f>
        <v/>
      </c>
      <c r="B32" s="570" t="inlineStr">
        <is>
          <t>Nhãn mã vạch</t>
        </is>
      </c>
      <c r="C32" s="571" t="n">
        <v>1021</v>
      </c>
      <c r="D32" s="570" t="inlineStr">
        <is>
          <t>Nhãn mã vạch</t>
        </is>
      </c>
      <c r="E32" s="572" t="inlineStr">
        <is>
          <t>VN</t>
        </is>
      </c>
      <c r="F32" s="573" t="n"/>
      <c r="G32" s="572" t="inlineStr">
        <is>
          <t>CÁI</t>
        </is>
      </c>
      <c r="H32" s="574" t="n"/>
    </row>
    <row r="33">
      <c r="A33" s="565">
        <f>A32+1</f>
        <v/>
      </c>
      <c r="B33" s="566" t="inlineStr">
        <is>
          <t xml:space="preserve">Túi hút ẩm </t>
        </is>
      </c>
      <c r="C33" s="565" t="n">
        <v>1022</v>
      </c>
      <c r="D33" s="566" t="inlineStr">
        <is>
          <t xml:space="preserve">Túi hút ẩm </t>
        </is>
      </c>
      <c r="E33" s="561" t="n">
        <v>2839900000</v>
      </c>
      <c r="F33" s="567" t="inlineStr">
        <is>
          <t>2839.90.00</t>
        </is>
      </c>
      <c r="G33" s="565" t="inlineStr">
        <is>
          <t>CÁI</t>
        </is>
      </c>
      <c r="H33" s="568" t="n">
        <v>0.02</v>
      </c>
    </row>
    <row r="34">
      <c r="A34" s="561">
        <f>A33+1</f>
        <v/>
      </c>
      <c r="B34" s="570" t="inlineStr">
        <is>
          <t>Băng keo</t>
        </is>
      </c>
      <c r="C34" s="571" t="n">
        <v>1023</v>
      </c>
      <c r="D34" s="570" t="inlineStr">
        <is>
          <t>Băng keo</t>
        </is>
      </c>
      <c r="E34" s="572" t="inlineStr">
        <is>
          <t>VN</t>
        </is>
      </c>
      <c r="F34" s="573" t="n"/>
      <c r="G34" s="572" t="inlineStr">
        <is>
          <t>M</t>
        </is>
      </c>
      <c r="H34" s="574" t="n"/>
    </row>
    <row r="35">
      <c r="A35" s="561">
        <f>A34+1</f>
        <v/>
      </c>
      <c r="B35" s="570" t="inlineStr">
        <is>
          <t>Túi nylon</t>
        </is>
      </c>
      <c r="C35" s="571" t="n">
        <v>1024</v>
      </c>
      <c r="D35" s="570" t="inlineStr">
        <is>
          <t>Túi nylon</t>
        </is>
      </c>
      <c r="E35" s="572" t="inlineStr">
        <is>
          <t>VN</t>
        </is>
      </c>
      <c r="F35" s="573" t="n"/>
      <c r="G35" s="572" t="inlineStr">
        <is>
          <t>CÁI</t>
        </is>
      </c>
      <c r="H35" s="574" t="n"/>
    </row>
    <row r="36">
      <c r="A36" s="561">
        <f>A35+1</f>
        <v/>
      </c>
      <c r="B36" s="570" t="inlineStr">
        <is>
          <t>Nhãn đánh số</t>
        </is>
      </c>
      <c r="C36" s="571" t="n">
        <v>1025</v>
      </c>
      <c r="D36" s="570" t="inlineStr">
        <is>
          <t>Nhãn đánh số</t>
        </is>
      </c>
      <c r="E36" s="572" t="inlineStr">
        <is>
          <t>VN</t>
        </is>
      </c>
      <c r="F36" s="573" t="n"/>
      <c r="G36" s="572" t="inlineStr">
        <is>
          <t>CÁI</t>
        </is>
      </c>
      <c r="H36" s="574" t="n"/>
    </row>
    <row r="37">
      <c r="A37" s="561">
        <f>A36+1</f>
        <v/>
      </c>
      <c r="B37" s="562" t="inlineStr">
        <is>
          <t xml:space="preserve">Dây đệm </t>
        </is>
      </c>
      <c r="C37" s="561" t="n">
        <v>1026</v>
      </c>
      <c r="D37" s="562" t="inlineStr">
        <is>
          <t xml:space="preserve">Dây đệm </t>
        </is>
      </c>
      <c r="E37" s="561" t="n">
        <v>5603120000</v>
      </c>
      <c r="F37" s="563" t="inlineStr">
        <is>
          <t>5603.12.00</t>
        </is>
      </c>
      <c r="G37" s="561" t="inlineStr">
        <is>
          <t>MET</t>
        </is>
      </c>
      <c r="H37" s="564" t="n">
        <v>0.12</v>
      </c>
    </row>
    <row r="38">
      <c r="A38" s="561">
        <f>A37+1</f>
        <v/>
      </c>
      <c r="B38" s="562" t="inlineStr">
        <is>
          <t>Dây luồn</t>
        </is>
      </c>
      <c r="C38" s="561" t="n">
        <v>1027</v>
      </c>
      <c r="D38" s="562" t="inlineStr">
        <is>
          <t>Dây luồn</t>
        </is>
      </c>
      <c r="E38" s="561" t="n">
        <v>5808109000</v>
      </c>
      <c r="F38" s="563" t="inlineStr">
        <is>
          <t>5808.10.90</t>
        </is>
      </c>
      <c r="G38" s="561" t="inlineStr">
        <is>
          <t>MET</t>
        </is>
      </c>
      <c r="H38" s="564" t="n">
        <v>0.12</v>
      </c>
    </row>
    <row r="39">
      <c r="A39" s="561">
        <f>A38+1</f>
        <v/>
      </c>
      <c r="B39" s="562" t="inlineStr">
        <is>
          <t>Dựng lót</t>
        </is>
      </c>
      <c r="C39" s="561" t="n">
        <v>1028</v>
      </c>
      <c r="D39" s="562" t="inlineStr">
        <is>
          <t>Dựng lót</t>
        </is>
      </c>
      <c r="E39" s="561" t="n">
        <v>5603940000</v>
      </c>
      <c r="F39" s="563" t="inlineStr">
        <is>
          <t>5603.94.00</t>
        </is>
      </c>
      <c r="G39" s="561" t="inlineStr">
        <is>
          <t>MET</t>
        </is>
      </c>
      <c r="H39" s="564" t="n">
        <v>0.12</v>
      </c>
    </row>
    <row r="40">
      <c r="A40" s="561">
        <f>A39+1</f>
        <v/>
      </c>
      <c r="B40" s="575" t="inlineStr">
        <is>
          <t>Ván MDF 18mm</t>
        </is>
      </c>
      <c r="C40" s="572" t="n">
        <v>1029</v>
      </c>
      <c r="D40" s="575" t="inlineStr">
        <is>
          <t>Ván MDF 18mm</t>
        </is>
      </c>
      <c r="E40" s="572" t="inlineStr">
        <is>
          <t>VN</t>
        </is>
      </c>
      <c r="F40" s="573" t="n"/>
      <c r="G40" s="572" t="inlineStr">
        <is>
          <t>M3</t>
        </is>
      </c>
      <c r="H40" s="572" t="n"/>
    </row>
    <row r="41">
      <c r="A41" s="561">
        <f>A40+1</f>
        <v/>
      </c>
      <c r="B41" s="575" t="inlineStr">
        <is>
          <t>Mút xốp</t>
        </is>
      </c>
      <c r="C41" s="572" t="n">
        <v>1030</v>
      </c>
      <c r="D41" s="575" t="inlineStr">
        <is>
          <t>Mút xốp</t>
        </is>
      </c>
      <c r="E41" s="572" t="inlineStr">
        <is>
          <t>VN</t>
        </is>
      </c>
      <c r="F41" s="573" t="n"/>
      <c r="G41" s="572" t="inlineStr">
        <is>
          <t>M2</t>
        </is>
      </c>
      <c r="H41" s="572" t="n"/>
    </row>
    <row r="42">
      <c r="A42" s="561">
        <f>A41+1</f>
        <v/>
      </c>
      <c r="B42" s="575" t="inlineStr">
        <is>
          <t>Tem giấy</t>
        </is>
      </c>
      <c r="C42" s="572" t="n">
        <v>1031</v>
      </c>
      <c r="D42" s="575" t="inlineStr">
        <is>
          <t>Tem giấy</t>
        </is>
      </c>
      <c r="E42" s="572" t="inlineStr">
        <is>
          <t>VN</t>
        </is>
      </c>
      <c r="F42" s="573" t="n"/>
      <c r="G42" s="572" t="inlineStr">
        <is>
          <t>CÁI</t>
        </is>
      </c>
      <c r="H42" s="572" t="n"/>
    </row>
    <row r="43">
      <c r="A43" s="561">
        <f>A42+1</f>
        <v/>
      </c>
      <c r="B43" s="562" t="inlineStr">
        <is>
          <t>Dây luồn bằng nhựa</t>
        </is>
      </c>
      <c r="C43" s="561" t="n">
        <v>1032</v>
      </c>
      <c r="D43" s="562" t="inlineStr">
        <is>
          <t>Dây luồn bằng nhựa</t>
        </is>
      </c>
      <c r="E43" s="561" t="n">
        <v>3926209000</v>
      </c>
      <c r="F43" s="576" t="inlineStr">
        <is>
          <t>3926.20.90</t>
        </is>
      </c>
      <c r="G43" s="561" t="inlineStr">
        <is>
          <t>MET</t>
        </is>
      </c>
      <c r="H43" s="564" t="n">
        <v>0.2</v>
      </c>
    </row>
    <row r="44">
      <c r="A44" s="561">
        <f>A43+1</f>
        <v/>
      </c>
      <c r="B44" s="562" t="inlineStr">
        <is>
          <t>Vải 47% polyester 53% rayon</t>
        </is>
      </c>
      <c r="C44" s="561" t="n">
        <v>1033</v>
      </c>
      <c r="D44" s="562" t="inlineStr">
        <is>
          <t>Vải 47% polyester 53% rayon</t>
        </is>
      </c>
      <c r="E44" s="561" t="n">
        <v>5801360000</v>
      </c>
      <c r="F44" s="563" t="n"/>
      <c r="G44" s="561" t="inlineStr">
        <is>
          <t>M2</t>
        </is>
      </c>
      <c r="H44" s="564" t="n">
        <v>0.12</v>
      </c>
    </row>
    <row r="45">
      <c r="A45" s="561">
        <f>A44+1</f>
        <v/>
      </c>
      <c r="B45" s="562" t="inlineStr">
        <is>
          <t>Vải 56% polyester 44% rayon</t>
        </is>
      </c>
      <c r="C45" s="561" t="n">
        <v>1034</v>
      </c>
      <c r="D45" s="562" t="inlineStr">
        <is>
          <t>Vải 56% polyester 44% rayon</t>
        </is>
      </c>
      <c r="E45" s="561" t="n">
        <v>5801360000</v>
      </c>
      <c r="F45" s="563" t="inlineStr">
        <is>
          <t>5801.37.90</t>
        </is>
      </c>
      <c r="G45" s="561" t="inlineStr">
        <is>
          <t>M2</t>
        </is>
      </c>
      <c r="H45" s="564" t="n">
        <v>0.12</v>
      </c>
    </row>
    <row r="46">
      <c r="A46" s="561">
        <f>A45+1</f>
        <v/>
      </c>
      <c r="B46" s="562" t="inlineStr">
        <is>
          <t>Giả da PU</t>
        </is>
      </c>
      <c r="C46" s="561" t="n">
        <v>1035</v>
      </c>
      <c r="D46" s="562" t="inlineStr">
        <is>
          <t>Giả da PU</t>
        </is>
      </c>
      <c r="E46" s="561" t="n">
        <v>5903909090</v>
      </c>
      <c r="F46" s="569" t="inlineStr">
        <is>
          <t>5903.20.00</t>
        </is>
      </c>
      <c r="G46" s="561" t="inlineStr">
        <is>
          <t>M2</t>
        </is>
      </c>
      <c r="H46" s="564" t="n">
        <v>0.12</v>
      </c>
    </row>
    <row r="47">
      <c r="A47" s="561">
        <f>A46+1</f>
        <v/>
      </c>
      <c r="B47" s="562" t="inlineStr">
        <is>
          <t>Nút trang trí</t>
        </is>
      </c>
      <c r="C47" s="561" t="n">
        <v>1036</v>
      </c>
      <c r="D47" s="562" t="inlineStr">
        <is>
          <t>Nút trang trí</t>
        </is>
      </c>
      <c r="E47" s="561" t="n">
        <v>3923500090</v>
      </c>
      <c r="F47" s="563" t="inlineStr">
        <is>
          <t>3923.50.00</t>
        </is>
      </c>
      <c r="G47" s="561" t="inlineStr">
        <is>
          <t>CÁI</t>
        </is>
      </c>
      <c r="H47" s="564" t="n">
        <v>0.05</v>
      </c>
    </row>
    <row r="48">
      <c r="A48" s="561">
        <f>A47+1</f>
        <v/>
      </c>
      <c r="B48" s="562" t="inlineStr">
        <is>
          <t>Dây gân trang trí</t>
        </is>
      </c>
      <c r="C48" s="561" t="n">
        <v>1037</v>
      </c>
      <c r="D48" s="562" t="inlineStr">
        <is>
          <t>Dây gân trang trí</t>
        </is>
      </c>
      <c r="E48" s="561" t="n">
        <v>5607909000</v>
      </c>
      <c r="F48" s="563" t="n"/>
      <c r="G48" s="561" t="inlineStr">
        <is>
          <t>CÁI</t>
        </is>
      </c>
      <c r="H48" s="564" t="n">
        <v>0.12</v>
      </c>
    </row>
    <row r="49">
      <c r="A49" s="561">
        <f>A48+1</f>
        <v/>
      </c>
      <c r="B49" s="562" t="inlineStr">
        <is>
          <t>Viền trang trí</t>
        </is>
      </c>
      <c r="C49" s="561" t="n">
        <v>1038</v>
      </c>
      <c r="D49" s="562" t="inlineStr">
        <is>
          <t>Viền trang trí</t>
        </is>
      </c>
      <c r="E49" s="561" t="n">
        <v>5607909000</v>
      </c>
      <c r="F49" s="563" t="inlineStr">
        <is>
          <t>56079090</t>
        </is>
      </c>
      <c r="G49" s="561" t="inlineStr">
        <is>
          <t>MET</t>
        </is>
      </c>
      <c r="H49" s="564" t="n">
        <v>0.12</v>
      </c>
    </row>
    <row r="50">
      <c r="A50" s="561">
        <f>A49+1</f>
        <v/>
      </c>
      <c r="B50" s="562" t="inlineStr">
        <is>
          <t>Vải 62% polyester 38% rayon</t>
        </is>
      </c>
      <c r="C50" s="561" t="n">
        <v>1039</v>
      </c>
      <c r="D50" s="562" t="inlineStr">
        <is>
          <t>Vải 62% polyester 38% rayon</t>
        </is>
      </c>
      <c r="E50" s="561" t="n">
        <v>5801340000</v>
      </c>
      <c r="F50" s="563" t="inlineStr">
        <is>
          <t>5801.37.90</t>
        </is>
      </c>
      <c r="G50" s="561" t="inlineStr">
        <is>
          <t>M2</t>
        </is>
      </c>
      <c r="H50" s="564" t="n">
        <v>0.12</v>
      </c>
    </row>
    <row r="51">
      <c r="A51" s="561">
        <f>A50+1</f>
        <v/>
      </c>
      <c r="B51" s="562" t="inlineStr">
        <is>
          <t>Vải 83% polyester 17% polyproplene</t>
        </is>
      </c>
      <c r="C51" s="561" t="n">
        <v>1040</v>
      </c>
      <c r="D51" s="562" t="inlineStr">
        <is>
          <t>Vải 83% polyester 17% polyproplene</t>
        </is>
      </c>
      <c r="E51" s="561" t="n">
        <v>5801340000</v>
      </c>
      <c r="F51" s="563" t="n"/>
      <c r="G51" s="561" t="inlineStr">
        <is>
          <t>M2</t>
        </is>
      </c>
      <c r="H51" s="564" t="n">
        <v>0.12</v>
      </c>
    </row>
    <row r="52">
      <c r="A52" s="561">
        <f>A51+1</f>
        <v/>
      </c>
      <c r="B52" s="562" t="inlineStr">
        <is>
          <t>Vải 21% polyester 79% rayon</t>
        </is>
      </c>
      <c r="C52" s="561" t="n">
        <v>1041</v>
      </c>
      <c r="D52" s="562" t="inlineStr">
        <is>
          <t>Vải 21% polyester 79% rayon</t>
        </is>
      </c>
      <c r="E52" s="561" t="n">
        <v>5801340000</v>
      </c>
      <c r="F52" s="563" t="n"/>
      <c r="G52" s="561" t="inlineStr">
        <is>
          <t>M2</t>
        </is>
      </c>
      <c r="H52" s="564" t="n">
        <v>0.12</v>
      </c>
    </row>
    <row r="53">
      <c r="A53" s="561">
        <f>A52+1</f>
        <v/>
      </c>
      <c r="B53" s="562" t="inlineStr">
        <is>
          <t>Vải 55% polyester 45% rayon</t>
        </is>
      </c>
      <c r="C53" s="561" t="n">
        <v>1042</v>
      </c>
      <c r="D53" s="562" t="inlineStr">
        <is>
          <t>Vải 55% polyester 45% rayon</t>
        </is>
      </c>
      <c r="E53" s="561" t="n">
        <v>5801340000</v>
      </c>
      <c r="F53" s="563" t="inlineStr">
        <is>
          <t>5801.37.90</t>
        </is>
      </c>
      <c r="G53" s="561" t="inlineStr">
        <is>
          <t>M2</t>
        </is>
      </c>
      <c r="H53" s="564" t="n">
        <v>0.12</v>
      </c>
    </row>
    <row r="54">
      <c r="A54" s="561">
        <f>A53+1</f>
        <v/>
      </c>
      <c r="B54" s="562" t="inlineStr">
        <is>
          <t>Vải 33% polyester 67% rayon</t>
        </is>
      </c>
      <c r="C54" s="561" t="n">
        <v>1043</v>
      </c>
      <c r="D54" s="562" t="inlineStr">
        <is>
          <t>Vải 33% polyester 67% rayon</t>
        </is>
      </c>
      <c r="E54" s="561" t="n">
        <v>5801340000</v>
      </c>
      <c r="F54" s="563" t="inlineStr">
        <is>
          <t>5801.37.90</t>
        </is>
      </c>
      <c r="G54" s="561" t="inlineStr">
        <is>
          <t>M2</t>
        </is>
      </c>
      <c r="H54" s="564" t="n">
        <v>0.12</v>
      </c>
    </row>
    <row r="55" ht="25.5" customHeight="1">
      <c r="A55" s="561">
        <f>A54+1</f>
        <v/>
      </c>
      <c r="B55" s="562" t="inlineStr">
        <is>
          <t>Vải 57% polyester 31% rayon 12%cotton</t>
        </is>
      </c>
      <c r="C55" s="561" t="n">
        <v>1044</v>
      </c>
      <c r="D55" s="562" t="inlineStr">
        <is>
          <t>Vải 57% polyester 31% rayon 12%cotton</t>
        </is>
      </c>
      <c r="E55" s="561" t="n">
        <v>5801340000</v>
      </c>
      <c r="F55" s="563" t="inlineStr">
        <is>
          <t>5801.37.90</t>
        </is>
      </c>
      <c r="G55" s="561" t="inlineStr">
        <is>
          <t>M2</t>
        </is>
      </c>
      <c r="H55" s="564" t="n">
        <v>0.12</v>
      </c>
    </row>
    <row r="56">
      <c r="A56" s="561">
        <f>A55+1</f>
        <v/>
      </c>
      <c r="B56" s="575" t="inlineStr">
        <is>
          <t>Nhãn vải</t>
        </is>
      </c>
      <c r="C56" s="572" t="n">
        <v>1045</v>
      </c>
      <c r="D56" s="575" t="inlineStr">
        <is>
          <t>Nhãn vải</t>
        </is>
      </c>
      <c r="E56" s="572" t="inlineStr">
        <is>
          <t>VN</t>
        </is>
      </c>
      <c r="F56" s="573" t="inlineStr">
        <is>
          <t>VN</t>
        </is>
      </c>
      <c r="G56" s="572" t="inlineStr">
        <is>
          <t>CÁI</t>
        </is>
      </c>
      <c r="H56" s="574" t="n"/>
    </row>
    <row r="57">
      <c r="A57" s="561">
        <f>A56+1</f>
        <v/>
      </c>
      <c r="B57" s="575" t="inlineStr">
        <is>
          <t>Giấy Honeycomb 180x80x30mm</t>
        </is>
      </c>
      <c r="C57" s="572" t="n">
        <v>1046</v>
      </c>
      <c r="D57" s="575" t="inlineStr">
        <is>
          <t>Giấy Honeycomb 180x80x30mm</t>
        </is>
      </c>
      <c r="E57" s="572" t="inlineStr">
        <is>
          <t>VN</t>
        </is>
      </c>
      <c r="F57" s="573" t="inlineStr">
        <is>
          <t>VN</t>
        </is>
      </c>
      <c r="G57" s="572" t="inlineStr">
        <is>
          <t>CÁI</t>
        </is>
      </c>
      <c r="H57" s="574" t="n"/>
    </row>
    <row r="58">
      <c r="A58" s="561">
        <f>A57+1</f>
        <v/>
      </c>
      <c r="B58" s="575" t="inlineStr">
        <is>
          <t>Giấy Cardboard 440x180x1.0mm</t>
        </is>
      </c>
      <c r="C58" s="572" t="n">
        <v>1047</v>
      </c>
      <c r="D58" s="575" t="inlineStr">
        <is>
          <t>Giấy Cardboard 440x180x1.0mm</t>
        </is>
      </c>
      <c r="E58" s="572" t="inlineStr">
        <is>
          <t>VN</t>
        </is>
      </c>
      <c r="F58" s="573" t="inlineStr">
        <is>
          <t>VN</t>
        </is>
      </c>
      <c r="G58" s="572" t="inlineStr">
        <is>
          <t>CÁI</t>
        </is>
      </c>
      <c r="H58" s="574" t="n"/>
    </row>
    <row r="59">
      <c r="A59" s="561">
        <f>A58+1</f>
        <v/>
      </c>
      <c r="B59" s="575" t="inlineStr">
        <is>
          <t xml:space="preserve">Giấy Fiberboard 700x650x1.0mm </t>
        </is>
      </c>
      <c r="C59" s="572" t="n">
        <v>1048</v>
      </c>
      <c r="D59" s="575" t="inlineStr">
        <is>
          <t xml:space="preserve">Giấy Fiberboard 700x650x1.0mm </t>
        </is>
      </c>
      <c r="E59" s="572" t="inlineStr">
        <is>
          <t>VN</t>
        </is>
      </c>
      <c r="F59" s="573" t="inlineStr">
        <is>
          <t>VN</t>
        </is>
      </c>
      <c r="G59" s="572" t="inlineStr">
        <is>
          <t>CÁI</t>
        </is>
      </c>
      <c r="H59" s="574" t="n"/>
    </row>
    <row r="60">
      <c r="A60" s="561">
        <f>A59+1</f>
        <v/>
      </c>
      <c r="B60" s="562" t="inlineStr">
        <is>
          <t>Vải 62% polyester 38% acrylic</t>
        </is>
      </c>
      <c r="C60" s="561" t="n">
        <v>1049</v>
      </c>
      <c r="D60" s="562" t="inlineStr">
        <is>
          <t>Vải 62% polyester 38% acrylic</t>
        </is>
      </c>
      <c r="E60" s="561" t="n">
        <v>5801340000</v>
      </c>
      <c r="F60" s="563" t="inlineStr">
        <is>
          <t>5801.37.90</t>
        </is>
      </c>
      <c r="G60" s="561" t="inlineStr">
        <is>
          <t>M2</t>
        </is>
      </c>
      <c r="H60" s="564" t="n">
        <v>0.12</v>
      </c>
    </row>
    <row r="61">
      <c r="A61" s="561">
        <f>A60+1</f>
        <v/>
      </c>
      <c r="B61" s="562" t="inlineStr">
        <is>
          <t>Ốc vít</t>
        </is>
      </c>
      <c r="C61" s="561" t="n">
        <v>1050</v>
      </c>
      <c r="D61" s="562" t="inlineStr">
        <is>
          <t>Ốc vít</t>
        </is>
      </c>
      <c r="E61" s="561" t="n">
        <v>7318299090</v>
      </c>
      <c r="F61" s="563" t="inlineStr">
        <is>
          <t>7318.2900</t>
        </is>
      </c>
      <c r="G61" s="561" t="inlineStr">
        <is>
          <t>CÁI</t>
        </is>
      </c>
      <c r="H61" s="564" t="n">
        <v>0.12</v>
      </c>
    </row>
    <row r="62">
      <c r="A62" s="561">
        <f>A61+1</f>
        <v/>
      </c>
      <c r="B62" s="577" t="inlineStr">
        <is>
          <t>Vải 25% polyester 75% rayon</t>
        </is>
      </c>
      <c r="C62" s="578" t="n">
        <v>1051</v>
      </c>
      <c r="D62" s="577" t="inlineStr">
        <is>
          <t>Vải 25% polyester 75% rayon</t>
        </is>
      </c>
      <c r="E62" s="561" t="n">
        <v>5801340000</v>
      </c>
      <c r="F62" s="563" t="inlineStr">
        <is>
          <t>5801.37.90</t>
        </is>
      </c>
      <c r="G62" s="561" t="inlineStr">
        <is>
          <t>M2</t>
        </is>
      </c>
      <c r="H62" s="564" t="n">
        <v>0.12</v>
      </c>
    </row>
    <row r="63">
      <c r="A63" s="561">
        <f>A62+1</f>
        <v/>
      </c>
      <c r="B63" s="562" t="inlineStr">
        <is>
          <t xml:space="preserve">Đinh </t>
        </is>
      </c>
      <c r="C63" s="561" t="n">
        <v>1052</v>
      </c>
      <c r="D63" s="562" t="inlineStr">
        <is>
          <t xml:space="preserve">Đinh </t>
        </is>
      </c>
      <c r="E63" s="561" t="n"/>
      <c r="F63" s="563" t="inlineStr">
        <is>
          <t>7317.00.90</t>
        </is>
      </c>
      <c r="G63" s="579" t="inlineStr">
        <is>
          <t>CÁI</t>
        </is>
      </c>
      <c r="H63" s="580" t="n">
        <v>0.2</v>
      </c>
    </row>
    <row r="64">
      <c r="A64" s="561">
        <f>A63+1</f>
        <v/>
      </c>
      <c r="B64" s="581" t="inlineStr">
        <is>
          <t>Vải 40% polyester 60% rayon</t>
        </is>
      </c>
      <c r="C64" s="579" t="n">
        <v>1053</v>
      </c>
      <c r="D64" s="581" t="inlineStr">
        <is>
          <t>Vải 40% polyester 60% rayon</t>
        </is>
      </c>
      <c r="E64" s="579" t="n"/>
      <c r="F64" s="563" t="inlineStr">
        <is>
          <t>5801.37.90</t>
        </is>
      </c>
      <c r="G64" s="579" t="inlineStr">
        <is>
          <t>M2</t>
        </is>
      </c>
      <c r="H64" s="580" t="n">
        <v>0.12</v>
      </c>
    </row>
    <row r="65">
      <c r="A65" s="561">
        <f>A64+1</f>
        <v/>
      </c>
      <c r="B65" s="581" t="inlineStr">
        <is>
          <t>Vải 22% polyester 78% rayon</t>
        </is>
      </c>
      <c r="C65" s="579" t="n">
        <v>1054</v>
      </c>
      <c r="D65" s="581" t="inlineStr">
        <is>
          <t>Vải 22% polyester 78% rayon</t>
        </is>
      </c>
      <c r="E65" s="579" t="n"/>
      <c r="F65" s="563" t="inlineStr">
        <is>
          <t>5801.37.90</t>
        </is>
      </c>
      <c r="G65" s="579" t="inlineStr">
        <is>
          <t>M2</t>
        </is>
      </c>
      <c r="H65" s="580" t="n">
        <v>0.12</v>
      </c>
    </row>
    <row r="66">
      <c r="A66" s="561">
        <f>A65+1</f>
        <v/>
      </c>
      <c r="B66" s="581" t="inlineStr">
        <is>
          <t>Ván PW</t>
        </is>
      </c>
      <c r="C66" s="579" t="n">
        <v>1055</v>
      </c>
      <c r="D66" s="581" t="inlineStr">
        <is>
          <t>Ván PW</t>
        </is>
      </c>
      <c r="E66" s="579" t="n"/>
      <c r="F66" s="563" t="inlineStr">
        <is>
          <t>4412.99.00</t>
        </is>
      </c>
      <c r="G66" s="579" t="inlineStr">
        <is>
          <t>M3</t>
        </is>
      </c>
      <c r="H66" s="580" t="n">
        <v>0.05</v>
      </c>
    </row>
    <row r="67" ht="25.5" customHeight="1">
      <c r="A67" s="561">
        <f>A66+1</f>
        <v/>
      </c>
      <c r="B67" s="581" t="inlineStr">
        <is>
          <t>Chất làm PU  (tiền polyurethan, thành phần chính là polyol)</t>
        </is>
      </c>
      <c r="C67" s="579" t="n">
        <v>1056</v>
      </c>
      <c r="D67" s="581" t="inlineStr">
        <is>
          <t>Chất làm PU  (tiền polyurethan, thành phần chính là polyol)</t>
        </is>
      </c>
      <c r="E67" s="579" t="n"/>
      <c r="F67" s="563" t="inlineStr">
        <is>
          <t>3909.50.00</t>
        </is>
      </c>
      <c r="G67" s="579" t="inlineStr">
        <is>
          <t>KG</t>
        </is>
      </c>
      <c r="H67" s="580" t="n">
        <v>0</v>
      </c>
    </row>
    <row r="68">
      <c r="A68" s="561">
        <f>A67+1</f>
        <v/>
      </c>
      <c r="B68" s="582" t="inlineStr">
        <is>
          <t>Sơn</t>
        </is>
      </c>
      <c r="C68" s="579" t="n">
        <v>1057</v>
      </c>
      <c r="D68" s="582" t="inlineStr">
        <is>
          <t>Sơn</t>
        </is>
      </c>
      <c r="E68" s="579" t="n"/>
      <c r="F68" s="563" t="inlineStr">
        <is>
          <t>3208.90.90</t>
        </is>
      </c>
      <c r="G68" s="579" t="inlineStr">
        <is>
          <t>KG</t>
        </is>
      </c>
      <c r="H68" s="563" t="inlineStr">
        <is>
          <t>10%</t>
        </is>
      </c>
    </row>
    <row r="69">
      <c r="A69" s="561">
        <f>A68+1</f>
        <v/>
      </c>
      <c r="B69" s="582" t="inlineStr">
        <is>
          <t>Chất màu</t>
        </is>
      </c>
      <c r="C69" s="579" t="n">
        <v>1058</v>
      </c>
      <c r="D69" s="582" t="inlineStr">
        <is>
          <t>Chất màu</t>
        </is>
      </c>
      <c r="E69" s="579" t="n"/>
      <c r="F69" s="563" t="inlineStr">
        <is>
          <t>3212.90.19</t>
        </is>
      </c>
      <c r="G69" s="579" t="inlineStr">
        <is>
          <t>KG</t>
        </is>
      </c>
      <c r="H69" s="563" t="inlineStr">
        <is>
          <t>5%</t>
        </is>
      </c>
    </row>
    <row r="70">
      <c r="A70" s="561">
        <f>A69+1</f>
        <v/>
      </c>
      <c r="B70" s="582" t="inlineStr">
        <is>
          <t>Dung môi</t>
        </is>
      </c>
      <c r="C70" s="579" t="n">
        <v>1059</v>
      </c>
      <c r="D70" s="582" t="inlineStr">
        <is>
          <t>Dung môi</t>
        </is>
      </c>
      <c r="E70" s="579" t="n"/>
      <c r="F70" s="563" t="inlineStr">
        <is>
          <t>3814.00.00</t>
        </is>
      </c>
      <c r="G70" s="579" t="inlineStr">
        <is>
          <t>KG</t>
        </is>
      </c>
      <c r="H70" s="563" t="inlineStr">
        <is>
          <t>3%</t>
        </is>
      </c>
    </row>
    <row r="71">
      <c r="A71" s="561">
        <f>A70+1</f>
        <v/>
      </c>
      <c r="B71" s="583" t="inlineStr">
        <is>
          <t>Vải lót denim</t>
        </is>
      </c>
      <c r="C71" s="584" t="n">
        <v>1060</v>
      </c>
      <c r="D71" s="583" t="inlineStr">
        <is>
          <t>Vải lót denim</t>
        </is>
      </c>
      <c r="E71" s="584" t="inlineStr">
        <is>
          <t>VN</t>
        </is>
      </c>
      <c r="F71" s="567" t="inlineStr">
        <is>
          <t>VN</t>
        </is>
      </c>
      <c r="G71" s="584" t="inlineStr">
        <is>
          <t>M2</t>
        </is>
      </c>
      <c r="H71" s="567" t="n"/>
    </row>
    <row r="72">
      <c r="A72" s="561">
        <f>A71+1</f>
        <v/>
      </c>
      <c r="B72" s="582" t="inlineStr">
        <is>
          <t>Vải 65% polyester 35% cotton</t>
        </is>
      </c>
      <c r="C72" s="579" t="n">
        <v>1061</v>
      </c>
      <c r="D72" s="582" t="inlineStr">
        <is>
          <t>Vải 65% polyester 35% cotton</t>
        </is>
      </c>
      <c r="E72" s="579" t="n"/>
      <c r="F72" s="563" t="inlineStr">
        <is>
          <t>5801.37.90</t>
        </is>
      </c>
      <c r="G72" s="579" t="inlineStr">
        <is>
          <t>M2</t>
        </is>
      </c>
      <c r="H72" s="580" t="n">
        <v>0.12</v>
      </c>
    </row>
    <row r="73" ht="25.5" customHeight="1">
      <c r="A73" s="561">
        <f>A72+1</f>
        <v/>
      </c>
      <c r="B73" s="582" t="inlineStr">
        <is>
          <t>Vải 29%polyester 33%cotton 38% Polypropylene</t>
        </is>
      </c>
      <c r="C73" s="579" t="n">
        <v>1062</v>
      </c>
      <c r="D73" s="582" t="inlineStr">
        <is>
          <t>Vải 29%polyester 33%cotton 38% Polypropylene</t>
        </is>
      </c>
      <c r="E73" s="579" t="n"/>
      <c r="F73" s="563" t="inlineStr">
        <is>
          <t>5801.37.90</t>
        </is>
      </c>
      <c r="G73" s="579" t="inlineStr">
        <is>
          <t>M2</t>
        </is>
      </c>
      <c r="H73" s="580" t="n">
        <v>0.12</v>
      </c>
    </row>
    <row r="74">
      <c r="A74" s="561">
        <f>A73+1</f>
        <v/>
      </c>
      <c r="B74" s="582" t="inlineStr">
        <is>
          <t>Vải 68% polyester 32% cotton</t>
        </is>
      </c>
      <c r="C74" s="579" t="n">
        <v>1063</v>
      </c>
      <c r="D74" s="582" t="inlineStr">
        <is>
          <t>Vải 68% polyester 32% cotton</t>
        </is>
      </c>
      <c r="E74" s="579" t="n"/>
      <c r="F74" s="563" t="inlineStr">
        <is>
          <t>5801.37.90</t>
        </is>
      </c>
      <c r="G74" s="579" t="inlineStr">
        <is>
          <t>M2</t>
        </is>
      </c>
      <c r="H74" s="580" t="n">
        <v>0.12</v>
      </c>
    </row>
    <row r="75">
      <c r="A75" s="561">
        <f>A74+1</f>
        <v/>
      </c>
      <c r="B75" s="582" t="inlineStr">
        <is>
          <t>Vải 30% polyester 70% cotton</t>
        </is>
      </c>
      <c r="C75" s="579" t="n">
        <v>1064</v>
      </c>
      <c r="D75" s="582" t="inlineStr">
        <is>
          <t>Vải 30% polyester 70% cotton</t>
        </is>
      </c>
      <c r="E75" s="579" t="n"/>
      <c r="F75" s="563" t="inlineStr">
        <is>
          <t>5801.37.90</t>
        </is>
      </c>
      <c r="G75" s="579" t="inlineStr">
        <is>
          <t>M2</t>
        </is>
      </c>
      <c r="H75" s="580" t="n">
        <v>0.12</v>
      </c>
    </row>
    <row r="76">
      <c r="A76" s="561">
        <f>A75+1</f>
        <v/>
      </c>
      <c r="B76" s="582" t="inlineStr">
        <is>
          <t>Vải 45% polyester 55% rayon</t>
        </is>
      </c>
      <c r="C76" s="579" t="n">
        <v>1065</v>
      </c>
      <c r="D76" s="582" t="inlineStr">
        <is>
          <t>Vải 45% polyester 55% rayon</t>
        </is>
      </c>
      <c r="E76" s="579" t="n"/>
      <c r="F76" s="563" t="inlineStr">
        <is>
          <t>5801.37.90</t>
        </is>
      </c>
      <c r="G76" s="579" t="inlineStr">
        <is>
          <t>M2</t>
        </is>
      </c>
      <c r="H76" s="580" t="n">
        <v>0.12</v>
      </c>
    </row>
    <row r="77">
      <c r="A77" s="561">
        <f>A76+1</f>
        <v/>
      </c>
      <c r="B77" s="582" t="inlineStr">
        <is>
          <t>Vải 61% polyester 39% rayon</t>
        </is>
      </c>
      <c r="C77" s="579" t="n">
        <v>1066</v>
      </c>
      <c r="D77" s="582" t="inlineStr">
        <is>
          <t>Vải 61% polyester 39% rayon</t>
        </is>
      </c>
      <c r="E77" s="579" t="n"/>
      <c r="F77" s="563" t="inlineStr">
        <is>
          <t>5801.37.90</t>
        </is>
      </c>
      <c r="G77" s="579" t="inlineStr">
        <is>
          <t>M2</t>
        </is>
      </c>
      <c r="H77" s="580" t="n">
        <v>0.12</v>
      </c>
    </row>
    <row r="78" ht="25.5" customHeight="1">
      <c r="A78" s="561">
        <f>A77+1</f>
        <v/>
      </c>
      <c r="B78" s="582" t="inlineStr">
        <is>
          <t>Vải 41% polyester 30% rayon 29% cotton</t>
        </is>
      </c>
      <c r="C78" s="579" t="n">
        <v>1067</v>
      </c>
      <c r="D78" s="582" t="inlineStr">
        <is>
          <t>Vải 41% polyester 30% rayon 29% cotton</t>
        </is>
      </c>
      <c r="E78" s="579" t="n"/>
      <c r="F78" s="563" t="inlineStr">
        <is>
          <t>5801.37.90</t>
        </is>
      </c>
      <c r="G78" s="579" t="inlineStr">
        <is>
          <t>M2</t>
        </is>
      </c>
      <c r="H78" s="580" t="n">
        <v>0.12</v>
      </c>
    </row>
    <row r="79">
      <c r="A79" s="561">
        <f>A78+1</f>
        <v/>
      </c>
      <c r="B79" s="585" t="inlineStr">
        <is>
          <t>Chất chống dính</t>
        </is>
      </c>
      <c r="C79" s="586" t="n">
        <v>1068</v>
      </c>
      <c r="D79" s="585" t="inlineStr">
        <is>
          <t>Chất chống dính</t>
        </is>
      </c>
      <c r="E79" s="586" t="inlineStr">
        <is>
          <t>VN</t>
        </is>
      </c>
      <c r="F79" s="587" t="inlineStr">
        <is>
          <t>2710.12.90</t>
        </is>
      </c>
      <c r="G79" s="586" t="inlineStr">
        <is>
          <t>KG</t>
        </is>
      </c>
      <c r="H79" s="588" t="n">
        <v>0.1</v>
      </c>
    </row>
    <row r="80">
      <c r="A80" s="561">
        <f>A79+1</f>
        <v/>
      </c>
      <c r="B80" s="589" t="inlineStr">
        <is>
          <t>Đế chân ghế bằng gỗ</t>
        </is>
      </c>
      <c r="C80" s="590" t="n">
        <v>1069</v>
      </c>
      <c r="D80" s="589" t="inlineStr">
        <is>
          <t>Đế chân ghế bằng gỗ</t>
        </is>
      </c>
      <c r="E80" s="590" t="inlineStr">
        <is>
          <t>VN</t>
        </is>
      </c>
      <c r="F80" s="591" t="inlineStr">
        <is>
          <t>VN</t>
        </is>
      </c>
      <c r="G80" s="590" t="inlineStr">
        <is>
          <t>CAI</t>
        </is>
      </c>
      <c r="H80" s="592" t="n"/>
    </row>
    <row r="81">
      <c r="A81" s="561">
        <f>A80+1</f>
        <v/>
      </c>
      <c r="B81" s="585" t="inlineStr">
        <is>
          <t>Vải 48% polyester 52% cotton</t>
        </is>
      </c>
      <c r="C81" s="586" t="n">
        <v>1070</v>
      </c>
      <c r="D81" s="585" t="inlineStr">
        <is>
          <t>Vải 48% polyester 52% cotton</t>
        </is>
      </c>
      <c r="E81" s="586" t="n"/>
      <c r="F81" s="587" t="inlineStr">
        <is>
          <t>5801.37.90</t>
        </is>
      </c>
      <c r="G81" s="586" t="inlineStr">
        <is>
          <t>M2</t>
        </is>
      </c>
      <c r="H81" s="588" t="n">
        <v>0.12</v>
      </c>
    </row>
    <row r="82">
      <c r="A82" s="561">
        <f>A81+1</f>
        <v/>
      </c>
      <c r="B82" s="585" t="inlineStr">
        <is>
          <t xml:space="preserve">Vải 30% polyester 70% rayon </t>
        </is>
      </c>
      <c r="C82" s="586" t="n">
        <v>1071</v>
      </c>
      <c r="D82" s="585" t="inlineStr">
        <is>
          <t xml:space="preserve">Vải 30% polyester 70% rayon </t>
        </is>
      </c>
      <c r="E82" s="586" t="n"/>
      <c r="F82" s="587" t="inlineStr">
        <is>
          <t>5801.37.90</t>
        </is>
      </c>
      <c r="G82" s="586" t="inlineStr">
        <is>
          <t>M2</t>
        </is>
      </c>
      <c r="H82" s="588" t="n">
        <v>0.12</v>
      </c>
    </row>
    <row r="83">
      <c r="A83" s="561">
        <f>A82+1</f>
        <v/>
      </c>
      <c r="B83" s="593" t="inlineStr">
        <is>
          <t>Vải 38% polyester 62% rayon</t>
        </is>
      </c>
      <c r="C83" s="561" t="n">
        <v>1072</v>
      </c>
      <c r="D83" s="593" t="inlineStr">
        <is>
          <t>Vải 38% polyester 62% rayon</t>
        </is>
      </c>
      <c r="E83" s="586" t="n"/>
      <c r="F83" s="576" t="inlineStr">
        <is>
          <t>5801.37.90</t>
        </is>
      </c>
      <c r="G83" s="561" t="inlineStr">
        <is>
          <t>M2</t>
        </is>
      </c>
      <c r="H83" s="564" t="n">
        <v>0.12</v>
      </c>
    </row>
    <row r="84">
      <c r="A84" s="561">
        <f>A83+1</f>
        <v/>
      </c>
      <c r="B84" s="593" t="inlineStr">
        <is>
          <t>Vải 72% Polyester 28% Rayon</t>
        </is>
      </c>
      <c r="C84" s="561" t="n">
        <v>1073</v>
      </c>
      <c r="D84" s="593" t="inlineStr">
        <is>
          <t>Vải 72% Polyester 28% Rayon</t>
        </is>
      </c>
      <c r="E84" s="586" t="n"/>
      <c r="F84" s="576" t="inlineStr">
        <is>
          <t>5801.37.90</t>
        </is>
      </c>
      <c r="G84" s="561" t="inlineStr">
        <is>
          <t>M2</t>
        </is>
      </c>
      <c r="H84" s="564" t="n">
        <v>0.12</v>
      </c>
    </row>
    <row r="85">
      <c r="A85" s="561">
        <f>A84+1</f>
        <v/>
      </c>
      <c r="B85" s="582" t="inlineStr">
        <is>
          <t>Vải 55% Polyester 45% cotton</t>
        </is>
      </c>
      <c r="C85" s="579" t="n">
        <v>1074</v>
      </c>
      <c r="D85" s="582" t="inlineStr">
        <is>
          <t>Vải 55% Polyester 45% cotton</t>
        </is>
      </c>
      <c r="E85" s="579" t="n"/>
      <c r="F85" s="563" t="inlineStr">
        <is>
          <t>5801.37.90</t>
        </is>
      </c>
      <c r="G85" s="579" t="inlineStr">
        <is>
          <t>M2</t>
        </is>
      </c>
      <c r="H85" s="580" t="n">
        <v>0.12</v>
      </c>
    </row>
    <row r="86">
      <c r="A86" s="561">
        <f>A85+1</f>
        <v/>
      </c>
      <c r="B86" s="582" t="inlineStr">
        <is>
          <t>Vải 39% polyester 61% acrylic</t>
        </is>
      </c>
      <c r="C86" s="579" t="n">
        <v>1075</v>
      </c>
      <c r="D86" s="582" t="inlineStr">
        <is>
          <t>Vải 39% polyester 61% acrylic</t>
        </is>
      </c>
      <c r="E86" s="579" t="n"/>
      <c r="F86" s="563" t="inlineStr">
        <is>
          <t>5801.37.90</t>
        </is>
      </c>
      <c r="G86" s="579" t="inlineStr">
        <is>
          <t>M2</t>
        </is>
      </c>
      <c r="H86" s="580" t="n">
        <v>0.12</v>
      </c>
    </row>
    <row r="87">
      <c r="A87" s="561">
        <f>A86+1</f>
        <v/>
      </c>
      <c r="B87" s="582" t="inlineStr">
        <is>
          <t>Vải 33% polyester 67% acrylic</t>
        </is>
      </c>
      <c r="C87" s="579" t="n">
        <v>1076</v>
      </c>
      <c r="D87" s="582" t="inlineStr">
        <is>
          <t>Vải 33% polyester 67% acrylic</t>
        </is>
      </c>
      <c r="E87" s="579" t="n"/>
      <c r="F87" s="563" t="inlineStr">
        <is>
          <t>5801.37.90</t>
        </is>
      </c>
      <c r="G87" s="579" t="inlineStr">
        <is>
          <t>M2</t>
        </is>
      </c>
      <c r="H87" s="580" t="n">
        <v>0.12</v>
      </c>
    </row>
    <row r="88">
      <c r="A88" s="561">
        <f>A87+1</f>
        <v/>
      </c>
      <c r="B88" s="582" t="inlineStr">
        <is>
          <t>Vải 20% Polyester 80% Rayon</t>
        </is>
      </c>
      <c r="C88" s="579" t="n">
        <v>1077</v>
      </c>
      <c r="D88" s="582" t="inlineStr">
        <is>
          <t>Vải 20% Polyester 80% Rayon</t>
        </is>
      </c>
      <c r="E88" s="579" t="n"/>
      <c r="F88" s="563" t="inlineStr">
        <is>
          <t>5801.37.90</t>
        </is>
      </c>
      <c r="G88" s="579" t="inlineStr">
        <is>
          <t>M2</t>
        </is>
      </c>
      <c r="H88" s="580" t="n">
        <v>0.12</v>
      </c>
    </row>
    <row r="89" ht="25.5" customHeight="1">
      <c r="A89" s="561">
        <f>A88+1</f>
        <v/>
      </c>
      <c r="B89" s="582" t="inlineStr">
        <is>
          <t xml:space="preserve">Vải 51% polyester 31% acrylic 18% rayon </t>
        </is>
      </c>
      <c r="C89" s="579" t="n">
        <v>1078</v>
      </c>
      <c r="D89" s="582" t="inlineStr">
        <is>
          <t xml:space="preserve">Vải 51% polyester 31% acrylic 18% rayon </t>
        </is>
      </c>
      <c r="E89" s="579" t="n"/>
      <c r="F89" s="563" t="inlineStr">
        <is>
          <t>5801.37.90</t>
        </is>
      </c>
      <c r="G89" s="579" t="inlineStr">
        <is>
          <t>M2</t>
        </is>
      </c>
      <c r="H89" s="580" t="n">
        <v>0.12</v>
      </c>
    </row>
    <row r="90">
      <c r="A90" s="561">
        <f>A89+1</f>
        <v/>
      </c>
      <c r="B90" s="582" t="inlineStr">
        <is>
          <t>Vải 92% Polyester 8% cotton</t>
        </is>
      </c>
      <c r="C90" s="579" t="n">
        <v>1079</v>
      </c>
      <c r="D90" s="582" t="inlineStr">
        <is>
          <t>Vải 92% Polyester 8% cotton</t>
        </is>
      </c>
      <c r="E90" s="579" t="n"/>
      <c r="F90" s="563" t="inlineStr">
        <is>
          <t>5801.37.90</t>
        </is>
      </c>
      <c r="G90" s="579" t="inlineStr">
        <is>
          <t>M2</t>
        </is>
      </c>
      <c r="H90" s="580" t="n">
        <v>0.12</v>
      </c>
    </row>
    <row r="91">
      <c r="A91" s="561">
        <f>A90+1</f>
        <v/>
      </c>
      <c r="B91" s="562" t="inlineStr">
        <is>
          <t>Vải 31% polyester 69% rayon</t>
        </is>
      </c>
      <c r="C91" s="561" t="n">
        <v>1080</v>
      </c>
      <c r="D91" s="562" t="inlineStr">
        <is>
          <t>Vải 31% polyester 69% rayon</t>
        </is>
      </c>
      <c r="E91" s="561" t="n"/>
      <c r="F91" s="576" t="inlineStr">
        <is>
          <t>5801.37.90</t>
        </is>
      </c>
      <c r="G91" s="561" t="inlineStr">
        <is>
          <t>M2</t>
        </is>
      </c>
      <c r="H91" s="564" t="n">
        <v>0.12</v>
      </c>
    </row>
    <row r="92">
      <c r="A92" s="561">
        <f>A91+1</f>
        <v/>
      </c>
      <c r="B92" s="562" t="inlineStr">
        <is>
          <t>Vải 49% polyester 51% rayon</t>
        </is>
      </c>
      <c r="C92" s="561" t="n">
        <v>1081</v>
      </c>
      <c r="D92" s="562" t="inlineStr">
        <is>
          <t>Vải 49% polyester 51% rayon</t>
        </is>
      </c>
      <c r="E92" s="561" t="n"/>
      <c r="F92" s="576" t="inlineStr">
        <is>
          <t>5801.37.90</t>
        </is>
      </c>
      <c r="G92" s="561" t="inlineStr">
        <is>
          <t>M2</t>
        </is>
      </c>
      <c r="H92" s="564" t="n">
        <v>0.12</v>
      </c>
    </row>
    <row r="93">
      <c r="A93" s="561">
        <f>A92+1</f>
        <v/>
      </c>
      <c r="B93" s="562" t="inlineStr">
        <is>
          <t>Vải 80% polyester 20% rayon</t>
        </is>
      </c>
      <c r="C93" s="561" t="n">
        <v>1082</v>
      </c>
      <c r="D93" s="562" t="inlineStr">
        <is>
          <t>Vải 80% polyester 20% rayon</t>
        </is>
      </c>
      <c r="E93" s="561" t="n"/>
      <c r="F93" s="576" t="inlineStr">
        <is>
          <t>5801.37.90</t>
        </is>
      </c>
      <c r="G93" s="561" t="inlineStr">
        <is>
          <t>M2</t>
        </is>
      </c>
      <c r="H93" s="564" t="n">
        <v>0.12</v>
      </c>
    </row>
    <row r="94">
      <c r="A94" s="561">
        <f>A93+1</f>
        <v/>
      </c>
      <c r="B94" s="562" t="inlineStr">
        <is>
          <t>Vải 100% cotton</t>
        </is>
      </c>
      <c r="C94" s="561" t="n">
        <v>1083</v>
      </c>
      <c r="D94" s="562" t="inlineStr">
        <is>
          <t>Vải 100% cotton</t>
        </is>
      </c>
      <c r="E94" s="561" t="n"/>
      <c r="F94" s="576" t="inlineStr">
        <is>
          <t>5801.37.90</t>
        </is>
      </c>
      <c r="G94" s="561" t="inlineStr">
        <is>
          <t>M2</t>
        </is>
      </c>
      <c r="H94" s="564" t="n">
        <v>0.12</v>
      </c>
    </row>
    <row r="95">
      <c r="A95" s="561">
        <f>A94+1</f>
        <v/>
      </c>
      <c r="B95" s="562" t="inlineStr">
        <is>
          <t xml:space="preserve">Vải 48% polyester 52% Acrylic </t>
        </is>
      </c>
      <c r="C95" s="561" t="n">
        <v>1084</v>
      </c>
      <c r="D95" s="562" t="inlineStr">
        <is>
          <t xml:space="preserve">Vải 48% polyester 52% Acrylic </t>
        </is>
      </c>
      <c r="E95" s="561" t="n"/>
      <c r="F95" s="576" t="inlineStr">
        <is>
          <t>5801.37.90</t>
        </is>
      </c>
      <c r="G95" s="561" t="inlineStr">
        <is>
          <t>M2</t>
        </is>
      </c>
      <c r="H95" s="564" t="n">
        <v>0.12</v>
      </c>
    </row>
    <row r="96">
      <c r="A96" s="561">
        <f>A95+1</f>
        <v/>
      </c>
      <c r="B96" s="594" t="inlineStr">
        <is>
          <t xml:space="preserve">Xơ staple </t>
        </is>
      </c>
      <c r="C96" s="595" t="n">
        <v>1085</v>
      </c>
      <c r="D96" s="594" t="inlineStr">
        <is>
          <t xml:space="preserve">Xơ staple </t>
        </is>
      </c>
      <c r="E96" s="595" t="n"/>
      <c r="F96" s="596" t="inlineStr">
        <is>
          <t>5503.20.00</t>
        </is>
      </c>
      <c r="G96" s="595" t="inlineStr">
        <is>
          <t>KG</t>
        </is>
      </c>
      <c r="H96" s="597" t="n">
        <v>0</v>
      </c>
    </row>
    <row r="97">
      <c r="A97" s="561">
        <f>A96+1</f>
        <v/>
      </c>
      <c r="B97" s="593" t="inlineStr">
        <is>
          <t xml:space="preserve">Miếng lót chân ghế </t>
        </is>
      </c>
      <c r="C97" s="561" t="n">
        <v>1086</v>
      </c>
      <c r="D97" s="593" t="inlineStr">
        <is>
          <t xml:space="preserve">Miếng lót chân ghế </t>
        </is>
      </c>
      <c r="E97" s="561" t="n"/>
      <c r="F97" s="576" t="inlineStr">
        <is>
          <t>4016.99.99</t>
        </is>
      </c>
      <c r="G97" s="561" t="inlineStr">
        <is>
          <t>CAI</t>
        </is>
      </c>
      <c r="H97" s="564" t="n">
        <v>0.05</v>
      </c>
    </row>
    <row r="98">
      <c r="A98" s="561">
        <f>A97+1</f>
        <v/>
      </c>
      <c r="B98" s="593" t="inlineStr">
        <is>
          <t xml:space="preserve">Vải 80% polyester 20% nylon </t>
        </is>
      </c>
      <c r="C98" s="561" t="n">
        <v>1087</v>
      </c>
      <c r="D98" s="593" t="inlineStr">
        <is>
          <t xml:space="preserve">Vải 80% polyester 20% nylon </t>
        </is>
      </c>
      <c r="E98" s="561" t="n"/>
      <c r="F98" s="576" t="inlineStr">
        <is>
          <t>5801.37.90</t>
        </is>
      </c>
      <c r="G98" s="561" t="inlineStr">
        <is>
          <t>M2</t>
        </is>
      </c>
      <c r="H98" s="564" t="n">
        <v>0.12</v>
      </c>
    </row>
    <row r="99">
      <c r="A99" s="561">
        <f>A98+1</f>
        <v/>
      </c>
      <c r="B99" s="593" t="inlineStr">
        <is>
          <t xml:space="preserve">Vải 78% polyester 22% polyproplene </t>
        </is>
      </c>
      <c r="C99" s="561" t="n">
        <v>1088</v>
      </c>
      <c r="D99" s="593" t="inlineStr">
        <is>
          <t xml:space="preserve">Vải 78% polyester 22% polyproplene </t>
        </is>
      </c>
      <c r="E99" s="561" t="n"/>
      <c r="F99" s="576" t="inlineStr">
        <is>
          <t>5801.37.90</t>
        </is>
      </c>
      <c r="G99" s="561" t="inlineStr">
        <is>
          <t>M2</t>
        </is>
      </c>
      <c r="H99" s="564" t="n">
        <v>0.12</v>
      </c>
    </row>
    <row r="100">
      <c r="A100" s="561">
        <f>A99+1</f>
        <v/>
      </c>
      <c r="B100" s="562" t="inlineStr">
        <is>
          <t>Vải 23% polyester 77% rayon</t>
        </is>
      </c>
      <c r="C100" s="561" t="n">
        <v>1089</v>
      </c>
      <c r="D100" s="562" t="inlineStr">
        <is>
          <t>Vải 23% polyester 77% rayon</t>
        </is>
      </c>
      <c r="E100" s="561" t="n"/>
      <c r="F100" s="576" t="inlineStr">
        <is>
          <t>5801.37.90</t>
        </is>
      </c>
      <c r="G100" s="561" t="inlineStr">
        <is>
          <t>M2</t>
        </is>
      </c>
      <c r="H100" s="564" t="n">
        <v>0.12</v>
      </c>
    </row>
    <row r="101" ht="38.25" customHeight="1">
      <c r="A101" s="561">
        <f>A100+1</f>
        <v/>
      </c>
      <c r="B101" s="593" t="inlineStr">
        <is>
          <t xml:space="preserve">Gối  100% cotton (sản phẩm hoàn chỉnh được đóng chung với hàng sxxk) </t>
        </is>
      </c>
      <c r="C101" s="561" t="n">
        <v>1090</v>
      </c>
      <c r="D101" s="593" t="inlineStr">
        <is>
          <t xml:space="preserve">Gối  100% cotton (sản phẩm hoàn chỉnh được đóng chung với hàng sxxk) </t>
        </is>
      </c>
      <c r="E101" s="561" t="n"/>
      <c r="F101" s="576" t="inlineStr">
        <is>
          <t>9404.90.90</t>
        </is>
      </c>
      <c r="G101" s="561" t="inlineStr">
        <is>
          <t>CAI</t>
        </is>
      </c>
      <c r="H101" s="564" t="n">
        <v>0.2</v>
      </c>
    </row>
    <row r="102">
      <c r="A102" s="561">
        <f>A101+1</f>
        <v/>
      </c>
      <c r="B102" s="593" t="inlineStr">
        <is>
          <t>Vải 28% polyester 72% rayon</t>
        </is>
      </c>
      <c r="C102" s="561" t="n">
        <v>1091</v>
      </c>
      <c r="D102" s="593" t="inlineStr">
        <is>
          <t>Vải 28% polyester 72% rayon</t>
        </is>
      </c>
      <c r="E102" s="561" t="n"/>
      <c r="F102" s="576" t="inlineStr">
        <is>
          <t>5801.37.90</t>
        </is>
      </c>
      <c r="G102" s="561" t="inlineStr">
        <is>
          <t>M2</t>
        </is>
      </c>
      <c r="H102" s="564" t="n">
        <v>0.12</v>
      </c>
    </row>
    <row r="103">
      <c r="A103" s="561">
        <f>A102+1</f>
        <v/>
      </c>
      <c r="B103" s="593" t="inlineStr">
        <is>
          <t>Vải 68% polyester 32% rayon</t>
        </is>
      </c>
      <c r="C103" s="561" t="n">
        <v>1092</v>
      </c>
      <c r="D103" s="593" t="inlineStr">
        <is>
          <t>Vải 68% polyester 32% rayon</t>
        </is>
      </c>
      <c r="E103" s="561" t="n"/>
      <c r="F103" s="576" t="inlineStr">
        <is>
          <t>5801.37.90</t>
        </is>
      </c>
      <c r="G103" s="561" t="inlineStr">
        <is>
          <t>M2</t>
        </is>
      </c>
      <c r="H103" s="564" t="n">
        <v>0.12</v>
      </c>
    </row>
    <row r="104">
      <c r="A104" s="561">
        <f>A103+1</f>
        <v/>
      </c>
      <c r="B104" s="593" t="inlineStr">
        <is>
          <t xml:space="preserve">Vải 92% polyester 8% nylon </t>
        </is>
      </c>
      <c r="C104" s="561" t="n">
        <v>1093</v>
      </c>
      <c r="D104" s="593" t="inlineStr">
        <is>
          <t xml:space="preserve">Vải 92% polyester 8% nylon </t>
        </is>
      </c>
      <c r="E104" s="561" t="n"/>
      <c r="F104" s="576" t="inlineStr">
        <is>
          <t>5801.37.90</t>
        </is>
      </c>
      <c r="G104" s="561" t="inlineStr">
        <is>
          <t>M2</t>
        </is>
      </c>
      <c r="H104" s="564" t="n">
        <v>0.12</v>
      </c>
    </row>
    <row r="105">
      <c r="A105" s="561">
        <f>A104+1</f>
        <v/>
      </c>
      <c r="B105" s="593" t="inlineStr">
        <is>
          <t>Vải 39% polyester 61% rayon</t>
        </is>
      </c>
      <c r="C105" s="561" t="n">
        <v>1094</v>
      </c>
      <c r="D105" s="593" t="inlineStr">
        <is>
          <t>Vải 39% polyester 61% rayon</t>
        </is>
      </c>
      <c r="E105" s="561" t="n"/>
      <c r="F105" s="576" t="inlineStr">
        <is>
          <t>5801.37.90</t>
        </is>
      </c>
      <c r="G105" s="561" t="inlineStr">
        <is>
          <t>M2</t>
        </is>
      </c>
      <c r="H105" s="564" t="n">
        <v>0.12</v>
      </c>
    </row>
    <row r="106">
      <c r="A106" s="561">
        <f>A105+1</f>
        <v/>
      </c>
      <c r="B106" s="593" t="inlineStr">
        <is>
          <t>Ván PB</t>
        </is>
      </c>
      <c r="C106" s="561" t="n">
        <v>1095</v>
      </c>
      <c r="D106" s="593" t="inlineStr">
        <is>
          <t>Ván PB</t>
        </is>
      </c>
      <c r="E106" s="561" t="n"/>
      <c r="F106" s="576" t="inlineStr">
        <is>
          <t>VN</t>
        </is>
      </c>
      <c r="G106" s="561" t="inlineStr">
        <is>
          <t>M3</t>
        </is>
      </c>
      <c r="H106" s="564" t="n"/>
    </row>
    <row r="107" ht="25.5" customHeight="1">
      <c r="A107" s="561">
        <f>A106+1</f>
        <v/>
      </c>
      <c r="B107" s="562" t="inlineStr">
        <is>
          <t xml:space="preserve">Vải 21% polyester 60 Rayon 19% Acrylic </t>
        </is>
      </c>
      <c r="C107" s="561" t="n">
        <v>1096</v>
      </c>
      <c r="D107" s="562" t="inlineStr">
        <is>
          <t xml:space="preserve">Vải 21% polyester 60 Rayon 19% Acrylic </t>
        </is>
      </c>
      <c r="E107" s="561" t="n"/>
      <c r="F107" s="576" t="inlineStr">
        <is>
          <t>5801.37.90</t>
        </is>
      </c>
      <c r="G107" s="561" t="inlineStr">
        <is>
          <t>M2</t>
        </is>
      </c>
      <c r="H107" s="564" t="n">
        <v>0.12</v>
      </c>
    </row>
    <row r="108">
      <c r="A108" s="561">
        <f>A107+1</f>
        <v/>
      </c>
      <c r="B108" s="593" t="inlineStr">
        <is>
          <t xml:space="preserve">Gỗ tràm </t>
        </is>
      </c>
      <c r="C108" s="561" t="n">
        <v>1097</v>
      </c>
      <c r="D108" s="593" t="inlineStr">
        <is>
          <t xml:space="preserve">Gỗ tràm </t>
        </is>
      </c>
      <c r="E108" s="561" t="n"/>
      <c r="F108" s="576" t="inlineStr">
        <is>
          <t>VN</t>
        </is>
      </c>
      <c r="G108" s="561" t="inlineStr">
        <is>
          <t>M3</t>
        </is>
      </c>
      <c r="H108" s="564" t="n"/>
    </row>
    <row r="109">
      <c r="A109" s="561">
        <f>A108+1</f>
        <v/>
      </c>
      <c r="B109" s="562" t="inlineStr">
        <is>
          <t xml:space="preserve">Vải 66% polyester 34 % Rayon </t>
        </is>
      </c>
      <c r="C109" s="561" t="n">
        <v>1098</v>
      </c>
      <c r="D109" s="562" t="inlineStr">
        <is>
          <t xml:space="preserve">Vải 66% polyester 34 % Rayon </t>
        </is>
      </c>
      <c r="E109" s="561" t="n"/>
      <c r="F109" s="576" t="inlineStr">
        <is>
          <t>5801.37.90</t>
        </is>
      </c>
      <c r="G109" s="561" t="inlineStr">
        <is>
          <t>M2</t>
        </is>
      </c>
      <c r="H109" s="564" t="n">
        <v>0.12</v>
      </c>
    </row>
    <row r="110">
      <c r="A110" s="561">
        <f>A109+1</f>
        <v/>
      </c>
      <c r="B110" s="562" t="inlineStr">
        <is>
          <t xml:space="preserve">Vải 34% polyester 66 % Rayon </t>
        </is>
      </c>
      <c r="C110" s="561" t="n">
        <v>1099</v>
      </c>
      <c r="D110" s="562" t="inlineStr">
        <is>
          <t xml:space="preserve">Vải 34% polyester 66 % Rayon </t>
        </is>
      </c>
      <c r="E110" s="561" t="n"/>
      <c r="F110" s="576" t="inlineStr">
        <is>
          <t>5801.37.90</t>
        </is>
      </c>
      <c r="G110" s="561" t="inlineStr">
        <is>
          <t>M2</t>
        </is>
      </c>
      <c r="H110" s="564" t="n">
        <v>0.12</v>
      </c>
    </row>
    <row r="111">
      <c r="A111" s="561">
        <f>A110+1</f>
        <v/>
      </c>
      <c r="B111" s="593" t="inlineStr">
        <is>
          <t>Vải 95% polyester 5% polyurethane</t>
        </is>
      </c>
      <c r="C111" s="561" t="n">
        <v>1100</v>
      </c>
      <c r="D111" s="593" t="inlineStr">
        <is>
          <t>Vải 95% polyester 5% polyurethane</t>
        </is>
      </c>
      <c r="E111" s="561" t="n"/>
      <c r="F111" s="576" t="inlineStr">
        <is>
          <t>5801.37.90</t>
        </is>
      </c>
      <c r="G111" s="561" t="inlineStr">
        <is>
          <t>M2</t>
        </is>
      </c>
      <c r="H111" s="564" t="n">
        <v>0.12</v>
      </c>
    </row>
    <row r="112" ht="38.25" customHeight="1">
      <c r="A112" s="561">
        <f>A111+1</f>
        <v/>
      </c>
      <c r="B112" s="562" t="inlineStr">
        <is>
          <t xml:space="preserve">Vải giả da  PU 7% pu 59% Polyurethane 17% Polycotton 17 % Leather </t>
        </is>
      </c>
      <c r="C112" s="561" t="n">
        <v>1101</v>
      </c>
      <c r="D112" s="562" t="inlineStr">
        <is>
          <t xml:space="preserve">Vải giả da  PU 7% pu 59% Polyurethane 17% Polycotton 17 % Leather </t>
        </is>
      </c>
      <c r="E112" s="561" t="n"/>
      <c r="F112" s="576" t="inlineStr">
        <is>
          <t>5903.20.00</t>
        </is>
      </c>
      <c r="G112" s="561" t="inlineStr">
        <is>
          <t>M2</t>
        </is>
      </c>
      <c r="H112" s="564" t="n">
        <v>0.12</v>
      </c>
    </row>
    <row r="113" ht="25.5" customHeight="1">
      <c r="A113" s="561">
        <f>A112+1</f>
        <v/>
      </c>
      <c r="B113" s="562" t="inlineStr">
        <is>
          <t xml:space="preserve">Vải giả da PVC 11% Polyurethane 66 % Pvc 23 % Polycotton </t>
        </is>
      </c>
      <c r="C113" s="561" t="n">
        <v>1102</v>
      </c>
      <c r="D113" s="562" t="inlineStr">
        <is>
          <t xml:space="preserve">Vải giả da PVC 11% Polyurethane 66 % Pvc 23 % Polycotton </t>
        </is>
      </c>
      <c r="E113" s="561" t="n"/>
      <c r="F113" s="576" t="inlineStr">
        <is>
          <t>5903.20.00</t>
        </is>
      </c>
      <c r="G113" s="561" t="inlineStr">
        <is>
          <t>M2</t>
        </is>
      </c>
      <c r="H113" s="564" t="n">
        <v>0.12</v>
      </c>
    </row>
    <row r="114">
      <c r="A114" s="561">
        <f>A113+1</f>
        <v/>
      </c>
      <c r="B114" s="562" t="inlineStr">
        <is>
          <t xml:space="preserve">Vải 32% polyester 68 % Rayon </t>
        </is>
      </c>
      <c r="C114" s="561" t="n">
        <v>1103</v>
      </c>
      <c r="D114" s="562" t="inlineStr">
        <is>
          <t xml:space="preserve">Vải 32% polyester 68 % Rayon </t>
        </is>
      </c>
      <c r="E114" s="561" t="n"/>
      <c r="F114" s="576" t="inlineStr">
        <is>
          <t>5801.37.90</t>
        </is>
      </c>
      <c r="G114" s="561" t="inlineStr">
        <is>
          <t>M2</t>
        </is>
      </c>
      <c r="H114" s="564" t="n">
        <v>0.12</v>
      </c>
    </row>
    <row r="115" ht="25.5" customHeight="1">
      <c r="A115" s="561">
        <f>A114+1</f>
        <v/>
      </c>
      <c r="B115" s="593" t="inlineStr">
        <is>
          <t>Vải 20% Polyester 32% Rayon 48% Acrylic</t>
        </is>
      </c>
      <c r="C115" s="561" t="n">
        <v>1104</v>
      </c>
      <c r="D115" s="593" t="inlineStr">
        <is>
          <t>Vải 20% Polyester 32% Rayon 48% Acrylic</t>
        </is>
      </c>
      <c r="E115" s="561" t="n"/>
      <c r="F115" s="576" t="inlineStr">
        <is>
          <t>5801.37.90</t>
        </is>
      </c>
      <c r="G115" s="561" t="inlineStr">
        <is>
          <t>M2</t>
        </is>
      </c>
      <c r="H115" s="564" t="n">
        <v>0.12</v>
      </c>
    </row>
    <row r="116">
      <c r="A116" s="561">
        <f>A115+1</f>
        <v/>
      </c>
      <c r="B116" s="593" t="inlineStr">
        <is>
          <t>Vải 24% Polyester 76% Viscose</t>
        </is>
      </c>
      <c r="C116" s="561" t="n">
        <v>1105</v>
      </c>
      <c r="D116" s="593" t="inlineStr">
        <is>
          <t>Vải 24% Polyester 76% Viscose</t>
        </is>
      </c>
      <c r="E116" s="561" t="n"/>
      <c r="F116" s="576" t="inlineStr">
        <is>
          <t>5801.37.90</t>
        </is>
      </c>
      <c r="G116" s="561" t="inlineStr">
        <is>
          <t>M2</t>
        </is>
      </c>
      <c r="H116" s="564" t="n">
        <v>0.12</v>
      </c>
    </row>
    <row r="117" ht="25.5" customHeight="1">
      <c r="A117" s="561">
        <f>A116+1</f>
        <v/>
      </c>
      <c r="B117" s="593" t="inlineStr">
        <is>
          <t>Vải 21% Polyester 51% Rayon 28% Chenille</t>
        </is>
      </c>
      <c r="C117" s="561" t="n">
        <v>1106</v>
      </c>
      <c r="D117" s="593" t="inlineStr">
        <is>
          <t>Vải 21% Polyester 51% Rayon 28% Chenille</t>
        </is>
      </c>
      <c r="E117" s="561" t="n"/>
      <c r="F117" s="576" t="inlineStr">
        <is>
          <t>5801.37.90</t>
        </is>
      </c>
      <c r="G117" s="561" t="inlineStr">
        <is>
          <t>M2</t>
        </is>
      </c>
      <c r="H117" s="564" t="n">
        <v>0.12</v>
      </c>
    </row>
    <row r="118" ht="25.5" customHeight="1">
      <c r="A118" s="561">
        <f>A117+1</f>
        <v/>
      </c>
      <c r="B118" s="593" t="inlineStr">
        <is>
          <t>Vải 23% Polyester 35% Rayon 42% Chenille</t>
        </is>
      </c>
      <c r="C118" s="561" t="n">
        <v>1107</v>
      </c>
      <c r="D118" s="593" t="inlineStr">
        <is>
          <t>Vải 23% Polyester 35% Rayon 42% Chenille</t>
        </is>
      </c>
      <c r="E118" s="561" t="n"/>
      <c r="F118" s="576" t="inlineStr">
        <is>
          <t>5801.37.90</t>
        </is>
      </c>
      <c r="G118" s="561" t="inlineStr">
        <is>
          <t>M2</t>
        </is>
      </c>
      <c r="H118" s="564" t="n">
        <v>0.12</v>
      </c>
    </row>
    <row r="119" ht="25.5" customHeight="1">
      <c r="A119" s="561">
        <f>A118+1</f>
        <v/>
      </c>
      <c r="B119" s="593" t="inlineStr">
        <is>
          <t>Vải 35% Polyester 24% Rayon 41% Rayon Chenille</t>
        </is>
      </c>
      <c r="C119" s="561" t="n">
        <v>1108</v>
      </c>
      <c r="D119" s="593" t="inlineStr">
        <is>
          <t>Vải 35% Polyester 24% Rayon 41% Rayon Chenille</t>
        </is>
      </c>
      <c r="E119" s="561" t="n"/>
      <c r="F119" s="576" t="inlineStr">
        <is>
          <t>5801.37.90</t>
        </is>
      </c>
      <c r="G119" s="561" t="inlineStr">
        <is>
          <t>M2</t>
        </is>
      </c>
      <c r="H119" s="564" t="n">
        <v>0.12</v>
      </c>
    </row>
    <row r="120">
      <c r="A120" s="561">
        <f>A119+1</f>
        <v/>
      </c>
      <c r="B120" s="566" t="inlineStr">
        <is>
          <t>Khóa kéo (có răng bằng nhựa)</t>
        </is>
      </c>
      <c r="C120" s="561" t="n">
        <v>1109</v>
      </c>
      <c r="D120" s="566" t="inlineStr">
        <is>
          <t>Khóa kéo (có răng bằng nhựa)</t>
        </is>
      </c>
      <c r="E120" s="561" t="n"/>
      <c r="F120" s="576" t="inlineStr">
        <is>
          <t>9607.19.00</t>
        </is>
      </c>
      <c r="G120" s="561" t="inlineStr">
        <is>
          <t>CAI</t>
        </is>
      </c>
      <c r="H120" s="564" t="n">
        <v>0.2</v>
      </c>
    </row>
    <row r="121">
      <c r="A121" s="561">
        <f>A120+1</f>
        <v/>
      </c>
      <c r="B121" s="562" t="inlineStr">
        <is>
          <t xml:space="preserve">Vải 95% polyester 5% Nylon </t>
        </is>
      </c>
      <c r="C121" s="561" t="n">
        <v>1110</v>
      </c>
      <c r="D121" s="562" t="inlineStr">
        <is>
          <t xml:space="preserve">Vải 95% polyester 5% Nylon </t>
        </is>
      </c>
      <c r="E121" s="561" t="n"/>
      <c r="F121" s="576" t="inlineStr">
        <is>
          <t>5801.37.90</t>
        </is>
      </c>
      <c r="G121" s="561" t="inlineStr">
        <is>
          <t>M2</t>
        </is>
      </c>
      <c r="H121" s="564" t="n">
        <v>0.12</v>
      </c>
    </row>
    <row r="122">
      <c r="A122" s="561">
        <f>A121+1</f>
        <v/>
      </c>
      <c r="B122" s="562" t="inlineStr">
        <is>
          <t xml:space="preserve">Vải 97% polyester 3% Polyurethane </t>
        </is>
      </c>
      <c r="C122" s="561" t="n">
        <v>1111</v>
      </c>
      <c r="D122" s="562" t="inlineStr">
        <is>
          <t xml:space="preserve">Vải 97% polyester 3% Polyurethane </t>
        </is>
      </c>
      <c r="E122" s="561" t="n"/>
      <c r="F122" s="576" t="inlineStr">
        <is>
          <t>5801.37.90</t>
        </is>
      </c>
      <c r="G122" s="561" t="inlineStr">
        <is>
          <t>M2</t>
        </is>
      </c>
      <c r="H122" s="564" t="n">
        <v>0.12</v>
      </c>
    </row>
    <row r="123">
      <c r="A123" s="561" t="n">
        <v>114</v>
      </c>
      <c r="B123" s="562" t="inlineStr">
        <is>
          <t>Vải 90% polyester 10% Nylon</t>
        </is>
      </c>
      <c r="C123" s="561" t="n">
        <v>1112</v>
      </c>
      <c r="D123" s="562" t="inlineStr">
        <is>
          <t>Vải 90% polyester 10% Nylon</t>
        </is>
      </c>
      <c r="E123" s="561" t="n"/>
      <c r="F123" s="576" t="inlineStr">
        <is>
          <t>5801.37.90</t>
        </is>
      </c>
      <c r="G123" s="561" t="inlineStr">
        <is>
          <t>M2</t>
        </is>
      </c>
      <c r="H123" s="564" t="n">
        <v>0.12</v>
      </c>
    </row>
    <row r="124" ht="25.5" customHeight="1">
      <c r="A124" s="561" t="n">
        <v>115</v>
      </c>
      <c r="B124" s="562" t="inlineStr">
        <is>
          <t>dây viền (làm từ da bò thuộc) (2644x60)mm</t>
        </is>
      </c>
      <c r="C124" s="561" t="n">
        <v>1113</v>
      </c>
      <c r="D124" s="562" t="inlineStr">
        <is>
          <t>dây viền (làm từ da bò thuộc) (2644x60)mm</t>
        </is>
      </c>
      <c r="E124" s="561" t="n"/>
      <c r="F124" s="576" t="inlineStr">
        <is>
          <t>4107.99.00</t>
        </is>
      </c>
      <c r="G124" s="561" t="inlineStr">
        <is>
          <t>CAI</t>
        </is>
      </c>
      <c r="H124" s="564" t="n">
        <v>0.1</v>
      </c>
    </row>
    <row r="125">
      <c r="A125" s="561" t="n">
        <v>116</v>
      </c>
      <c r="B125" s="562" t="inlineStr">
        <is>
          <t xml:space="preserve">Vải 55% Linen 45% Viscose </t>
        </is>
      </c>
      <c r="C125" s="561" t="n">
        <v>1114</v>
      </c>
      <c r="D125" s="562" t="inlineStr">
        <is>
          <t xml:space="preserve">Vải 55% Linen 45% Viscose </t>
        </is>
      </c>
      <c r="E125" s="561" t="n"/>
      <c r="F125" s="576" t="inlineStr">
        <is>
          <t>5801.37.90</t>
        </is>
      </c>
      <c r="G125" s="561" t="inlineStr">
        <is>
          <t>M2</t>
        </is>
      </c>
      <c r="H125" s="564" t="n">
        <v>0.12</v>
      </c>
    </row>
    <row r="126" ht="25.5" customHeight="1">
      <c r="A126" s="561" t="n">
        <v>117</v>
      </c>
      <c r="B126" s="562" t="inlineStr">
        <is>
          <t>tấm lót đệm hàng bằng nhựa (1092.2 *100*9)mm</t>
        </is>
      </c>
      <c r="C126" s="561" t="n">
        <v>1115</v>
      </c>
      <c r="D126" s="562" t="inlineStr">
        <is>
          <t>tấm lót đệm hàng bằng nhựa (1092.2 *100*9)mm</t>
        </is>
      </c>
      <c r="E126" s="561" t="n"/>
      <c r="F126" s="576" t="inlineStr">
        <is>
          <t>3921.90.90</t>
        </is>
      </c>
      <c r="G126" s="561" t="inlineStr">
        <is>
          <t>CAI</t>
        </is>
      </c>
      <c r="H126" s="568" t="n">
        <v>0.06</v>
      </c>
    </row>
    <row r="127" ht="25.5" customHeight="1">
      <c r="A127" s="561" t="n">
        <v>118</v>
      </c>
      <c r="B127" s="562" t="inlineStr">
        <is>
          <t>tấm lót đệm hàng bằng nhựa (406.4 *100*9)mm</t>
        </is>
      </c>
      <c r="C127" s="561" t="n">
        <v>1116</v>
      </c>
      <c r="D127" s="562" t="inlineStr">
        <is>
          <t>tấm lót đệm hàng bằng nhựa (406.4 *100*9)mm</t>
        </is>
      </c>
      <c r="E127" s="561" t="n"/>
      <c r="F127" s="576" t="inlineStr">
        <is>
          <t>3921.90.90</t>
        </is>
      </c>
      <c r="G127" s="561" t="inlineStr">
        <is>
          <t>CAI</t>
        </is>
      </c>
      <c r="H127" s="568" t="n">
        <v>0.06</v>
      </c>
    </row>
    <row r="128" ht="25.5" customHeight="1">
      <c r="A128" s="561" t="n">
        <v>119</v>
      </c>
      <c r="B128" s="562" t="inlineStr">
        <is>
          <t>Vải 94% Polyester 5% Nylon 1% Spandex</t>
        </is>
      </c>
      <c r="C128" s="561" t="n">
        <v>1117</v>
      </c>
      <c r="D128" s="562" t="inlineStr">
        <is>
          <t>Vải 94% Polyester 5% Nylon 1% Spandex</t>
        </is>
      </c>
      <c r="E128" s="561" t="n"/>
      <c r="F128" s="576" t="inlineStr">
        <is>
          <t>5801.37.90</t>
        </is>
      </c>
      <c r="G128" s="561" t="inlineStr">
        <is>
          <t>M2</t>
        </is>
      </c>
      <c r="H128" s="564" t="n">
        <v>0.12</v>
      </c>
    </row>
    <row r="129" ht="25.5" customHeight="1">
      <c r="A129" s="561" t="n">
        <v>120</v>
      </c>
      <c r="B129" s="562" t="inlineStr">
        <is>
          <t>Vải 66% Polyester 15% Rayon 19% Linen</t>
        </is>
      </c>
      <c r="C129" s="561" t="n">
        <v>1118</v>
      </c>
      <c r="D129" s="562" t="inlineStr">
        <is>
          <t>Vải 66% Polyester 15% Rayon 19% Linen</t>
        </is>
      </c>
      <c r="E129" s="561" t="n"/>
      <c r="F129" s="576" t="inlineStr">
        <is>
          <t>5801.37.90</t>
        </is>
      </c>
      <c r="G129" s="561" t="inlineStr">
        <is>
          <t>M2</t>
        </is>
      </c>
      <c r="H129" s="564" t="n">
        <v>0.12</v>
      </c>
    </row>
    <row r="130" ht="25.5" customHeight="1">
      <c r="A130" s="561" t="n">
        <v>121</v>
      </c>
      <c r="B130" s="562" t="inlineStr">
        <is>
          <t>dây viền (làm từ da bò thuộc) (2074x60)mm</t>
        </is>
      </c>
      <c r="C130" s="561" t="n">
        <v>1119</v>
      </c>
      <c r="D130" s="562" t="inlineStr">
        <is>
          <t>dây viền (làm từ da bò thuộc) (2074x60)mm</t>
        </is>
      </c>
      <c r="E130" s="561" t="n"/>
      <c r="F130" s="576" t="inlineStr">
        <is>
          <t>4107.99.00</t>
        </is>
      </c>
      <c r="G130" s="561" t="inlineStr">
        <is>
          <t>CAI</t>
        </is>
      </c>
      <c r="H130" s="564" t="n">
        <v>0.1</v>
      </c>
    </row>
    <row r="131">
      <c r="A131" s="561" t="n">
        <v>122</v>
      </c>
      <c r="B131" s="566" t="inlineStr">
        <is>
          <t>Màng EPE</t>
        </is>
      </c>
      <c r="C131" s="565" t="n">
        <v>1120</v>
      </c>
      <c r="D131" s="566" t="inlineStr">
        <is>
          <t>Màng EPE</t>
        </is>
      </c>
      <c r="E131" s="565" t="n"/>
      <c r="F131" s="598" t="inlineStr">
        <is>
          <t>VN</t>
        </is>
      </c>
      <c r="G131" s="565" t="n"/>
      <c r="H131" s="568" t="n"/>
    </row>
    <row r="132">
      <c r="A132" s="561" t="n">
        <v>123</v>
      </c>
      <c r="B132" s="599" t="inlineStr">
        <is>
          <t>Chất màu CH-JF (Bột hộp kim đồng )</t>
        </is>
      </c>
      <c r="C132" s="600" t="n">
        <v>1121</v>
      </c>
      <c r="D132" s="599" t="inlineStr">
        <is>
          <t>Chất màu CH-JF (Bột hộp kim đồng )</t>
        </is>
      </c>
      <c r="E132" s="561" t="n"/>
      <c r="F132" s="576" t="inlineStr">
        <is>
          <t>7406.10.00</t>
        </is>
      </c>
      <c r="G132" s="561" t="inlineStr">
        <is>
          <t>KG</t>
        </is>
      </c>
      <c r="H132" s="564" t="n">
        <v>0</v>
      </c>
    </row>
    <row r="133" ht="25.5" customHeight="1">
      <c r="A133" s="561" t="n">
        <v>124</v>
      </c>
      <c r="B133" s="599" t="inlineStr">
        <is>
          <t>Dung môi CH-Qy ( hỗn hợp dầu ăn không ăn được từ dầu thực vật)</t>
        </is>
      </c>
      <c r="C133" s="600" t="n">
        <v>1122</v>
      </c>
      <c r="D133" s="599" t="inlineStr">
        <is>
          <t>Dung môi CH-Qy ( hỗn hợp dầu ăn không ăn được từ dầu thực vật)</t>
        </is>
      </c>
      <c r="E133" s="561" t="n"/>
      <c r="F133" s="576" t="inlineStr">
        <is>
          <t>1518.00.20</t>
        </is>
      </c>
      <c r="G133" s="561" t="inlineStr">
        <is>
          <t>KG</t>
        </is>
      </c>
      <c r="H133" s="564" t="n">
        <v>0.05</v>
      </c>
    </row>
    <row r="134" ht="25.5" customHeight="1">
      <c r="A134" s="561" t="n">
        <v>125</v>
      </c>
      <c r="B134" s="562" t="inlineStr">
        <is>
          <t>Dung môi CH-RG (có nguồn gốc từ dầu mỏ thuộc phân đoạn dầu nhẹ)</t>
        </is>
      </c>
      <c r="C134" s="565" t="n">
        <v>1123</v>
      </c>
      <c r="D134" s="562" t="inlineStr">
        <is>
          <t>Dung môi CH-RG (có nguồn gốc từ dầu mỏ thuộc phân đoạn dầu nhẹ)</t>
        </is>
      </c>
      <c r="E134" s="561" t="n"/>
      <c r="F134" s="576" t="inlineStr">
        <is>
          <t>2710.12.60</t>
        </is>
      </c>
      <c r="G134" s="561" t="inlineStr">
        <is>
          <t>KG</t>
        </is>
      </c>
      <c r="H134" s="564" t="n">
        <v>0.18</v>
      </c>
    </row>
    <row r="135" ht="38.25" customHeight="1">
      <c r="A135" s="561" t="n">
        <v>126</v>
      </c>
      <c r="B135" s="562" t="inlineStr">
        <is>
          <t>Dung môi CH-RJ  ( cồn ê - ti -lích chưa biến tính có nồng độ cồn tính theo thể tích &gt;80%)</t>
        </is>
      </c>
      <c r="C135" s="565" t="n">
        <v>1124</v>
      </c>
      <c r="D135" s="562" t="inlineStr">
        <is>
          <t>Dung môi CH-RJ  ( cồn ê - ti -lích chưa biến tính có nồng độ cồn tính theo thể tích &gt;80%)</t>
        </is>
      </c>
      <c r="E135" s="561" t="n"/>
      <c r="F135" s="576" t="inlineStr">
        <is>
          <t>2207.10.00</t>
        </is>
      </c>
      <c r="G135" s="561" t="inlineStr">
        <is>
          <t>KG</t>
        </is>
      </c>
      <c r="H135" s="564" t="n">
        <v>0.4</v>
      </c>
    </row>
    <row r="136">
      <c r="A136" s="561" t="n">
        <v>127</v>
      </c>
      <c r="B136" s="562" t="inlineStr">
        <is>
          <t xml:space="preserve">Vải 91% polyester 9% Polyproplene </t>
        </is>
      </c>
      <c r="C136" s="561" t="n">
        <v>1125</v>
      </c>
      <c r="D136" s="562" t="inlineStr">
        <is>
          <t xml:space="preserve">Vải 91% polyester 9% Polyproplene </t>
        </is>
      </c>
      <c r="E136" s="561" t="n"/>
      <c r="F136" s="576" t="inlineStr">
        <is>
          <t>5801.37.90</t>
        </is>
      </c>
      <c r="G136" s="561" t="inlineStr">
        <is>
          <t>M2</t>
        </is>
      </c>
      <c r="H136" s="564" t="n">
        <v>0.12</v>
      </c>
    </row>
    <row r="137">
      <c r="A137" s="561" t="n">
        <v>128</v>
      </c>
      <c r="B137" s="562" t="inlineStr">
        <is>
          <t xml:space="preserve">Vải 52% polyester 48% Rayon  </t>
        </is>
      </c>
      <c r="C137" s="561" t="n">
        <v>1126</v>
      </c>
      <c r="D137" s="562" t="inlineStr">
        <is>
          <t xml:space="preserve">Vải 52% polyester 48% Rayon  </t>
        </is>
      </c>
      <c r="E137" s="561" t="n"/>
      <c r="F137" s="576" t="inlineStr">
        <is>
          <t>5801.37.90</t>
        </is>
      </c>
      <c r="G137" s="561" t="inlineStr">
        <is>
          <t>M2</t>
        </is>
      </c>
      <c r="H137" s="564" t="n">
        <v>0.12</v>
      </c>
    </row>
    <row r="138">
      <c r="A138" s="561" t="n">
        <v>129</v>
      </c>
      <c r="B138" s="562" t="inlineStr">
        <is>
          <t xml:space="preserve">Vải 41% polyester 59% Acrylic </t>
        </is>
      </c>
      <c r="C138" s="561" t="n">
        <v>1127</v>
      </c>
      <c r="D138" s="562" t="inlineStr">
        <is>
          <t xml:space="preserve">Vải 41% polyester 59% Acrylic </t>
        </is>
      </c>
      <c r="E138" s="561" t="n"/>
      <c r="F138" s="576" t="inlineStr">
        <is>
          <t>5801.37.90</t>
        </is>
      </c>
      <c r="G138" s="561" t="inlineStr">
        <is>
          <t>M2</t>
        </is>
      </c>
      <c r="H138" s="564" t="n">
        <v>0.12</v>
      </c>
    </row>
    <row r="139">
      <c r="A139" s="561" t="n">
        <v>130</v>
      </c>
      <c r="B139" s="562" t="inlineStr">
        <is>
          <t xml:space="preserve">Vải 64% polyester 36% Acrylic </t>
        </is>
      </c>
      <c r="C139" s="561" t="n">
        <v>1128</v>
      </c>
      <c r="D139" s="562" t="inlineStr">
        <is>
          <t xml:space="preserve">Vải 64% polyester 36% Acrylic </t>
        </is>
      </c>
      <c r="E139" s="561" t="n"/>
      <c r="F139" s="576" t="inlineStr">
        <is>
          <t>5801.37.90</t>
        </is>
      </c>
      <c r="G139" s="561" t="inlineStr">
        <is>
          <t>M2</t>
        </is>
      </c>
      <c r="H139" s="564" t="n">
        <v>0.12</v>
      </c>
    </row>
    <row r="140">
      <c r="A140" s="561" t="n">
        <v>131</v>
      </c>
      <c r="B140" s="562" t="inlineStr">
        <is>
          <t xml:space="preserve">Vải 44% polyester 56% Rayon  </t>
        </is>
      </c>
      <c r="C140" s="561" t="n">
        <v>1129</v>
      </c>
      <c r="D140" s="562" t="inlineStr">
        <is>
          <t xml:space="preserve">Vải 44% polyester 56% Rayon  </t>
        </is>
      </c>
      <c r="E140" s="561" t="n"/>
      <c r="F140" s="576" t="inlineStr">
        <is>
          <t>5801.37.90</t>
        </is>
      </c>
      <c r="G140" s="561" t="inlineStr">
        <is>
          <t>M2</t>
        </is>
      </c>
      <c r="H140" s="564" t="n">
        <v>0.12</v>
      </c>
    </row>
    <row r="141" ht="25.5" customHeight="1">
      <c r="A141" s="561" t="n">
        <v>132</v>
      </c>
      <c r="B141" s="562" t="inlineStr">
        <is>
          <t xml:space="preserve">Vải 74% polyester 23% Acrylic 3% Limen </t>
        </is>
      </c>
      <c r="C141" s="561" t="n">
        <v>1130</v>
      </c>
      <c r="D141" s="562" t="inlineStr">
        <is>
          <t xml:space="preserve">Vải 74% polyester 23% Acrylic 3% Limen </t>
        </is>
      </c>
      <c r="E141" s="561" t="n"/>
      <c r="F141" s="576" t="inlineStr">
        <is>
          <t>5801.37.90</t>
        </is>
      </c>
      <c r="G141" s="561" t="inlineStr">
        <is>
          <t>M2</t>
        </is>
      </c>
      <c r="H141" s="564" t="n">
        <v>0.12</v>
      </c>
    </row>
    <row r="142" ht="25.5" customHeight="1">
      <c r="A142" s="561" t="n">
        <v>133</v>
      </c>
      <c r="B142" s="562" t="inlineStr">
        <is>
          <t xml:space="preserve">Vải 37% polyester 33% Cotton 30% Rayon  </t>
        </is>
      </c>
      <c r="C142" s="561" t="n">
        <v>1131</v>
      </c>
      <c r="D142" s="562" t="inlineStr">
        <is>
          <t xml:space="preserve">Vải 37% polyester 33% Cotton 30% Rayon  </t>
        </is>
      </c>
      <c r="E142" s="561" t="n"/>
      <c r="F142" s="576" t="inlineStr">
        <is>
          <t>5801.37.90</t>
        </is>
      </c>
      <c r="G142" s="561" t="inlineStr">
        <is>
          <t>M2</t>
        </is>
      </c>
      <c r="H142" s="564" t="n">
        <v>0.12</v>
      </c>
    </row>
    <row r="143">
      <c r="A143" s="561" t="n">
        <v>134</v>
      </c>
      <c r="B143" s="562" t="inlineStr">
        <is>
          <t xml:space="preserve">Vải 70% Cotton 30% Limen </t>
        </is>
      </c>
      <c r="C143" s="561" t="n">
        <v>1132</v>
      </c>
      <c r="D143" s="562" t="inlineStr">
        <is>
          <t xml:space="preserve">Vải 70% Cotton 30% Limen </t>
        </is>
      </c>
      <c r="E143" s="561" t="n"/>
      <c r="F143" s="576" t="inlineStr">
        <is>
          <t>5801.37.90</t>
        </is>
      </c>
      <c r="G143" s="561" t="inlineStr">
        <is>
          <t>M2</t>
        </is>
      </c>
      <c r="H143" s="564" t="n">
        <v>0.12</v>
      </c>
    </row>
    <row r="144">
      <c r="A144" s="561" t="n">
        <v>135</v>
      </c>
      <c r="B144" s="562" t="inlineStr">
        <is>
          <t xml:space="preserve">Vải 37% polyester 63% Cotton </t>
        </is>
      </c>
      <c r="C144" s="561" t="n">
        <v>1133</v>
      </c>
      <c r="D144" s="562" t="inlineStr">
        <is>
          <t xml:space="preserve">Vải 37% polyester 63% Cotton </t>
        </is>
      </c>
      <c r="E144" s="561" t="n"/>
      <c r="F144" s="576" t="inlineStr">
        <is>
          <t>5801.37.90</t>
        </is>
      </c>
      <c r="G144" s="561" t="inlineStr">
        <is>
          <t>M2</t>
        </is>
      </c>
      <c r="H144" s="564" t="n">
        <v>0.12</v>
      </c>
    </row>
    <row r="145">
      <c r="A145" s="561" t="n">
        <v>136</v>
      </c>
      <c r="B145" s="562" t="inlineStr">
        <is>
          <t xml:space="preserve">Vải 75% polyester 25% Acrylic </t>
        </is>
      </c>
      <c r="C145" s="561" t="n">
        <v>1134</v>
      </c>
      <c r="D145" s="562" t="inlineStr">
        <is>
          <t xml:space="preserve">Vải 75% polyester 25% Acrylic </t>
        </is>
      </c>
      <c r="E145" s="561" t="n"/>
      <c r="F145" s="576" t="inlineStr">
        <is>
          <t>5801.37.90</t>
        </is>
      </c>
      <c r="G145" s="561" t="inlineStr">
        <is>
          <t>M2</t>
        </is>
      </c>
      <c r="H145" s="564" t="n">
        <v>0.12</v>
      </c>
    </row>
    <row r="146">
      <c r="A146" s="561" t="n">
        <v>137</v>
      </c>
      <c r="B146" s="562" t="inlineStr">
        <is>
          <t xml:space="preserve">Vải 12,6% polyester 87,4% Cotton </t>
        </is>
      </c>
      <c r="C146" s="561" t="n">
        <v>1135</v>
      </c>
      <c r="D146" s="562" t="inlineStr">
        <is>
          <t xml:space="preserve">Vải 12,6% polyester 87,4% Cotton </t>
        </is>
      </c>
      <c r="E146" s="561" t="n"/>
      <c r="F146" s="576" t="inlineStr">
        <is>
          <t>5801.37.90</t>
        </is>
      </c>
      <c r="G146" s="561" t="inlineStr">
        <is>
          <t>M2</t>
        </is>
      </c>
      <c r="H146" s="564" t="n">
        <v>0.12</v>
      </c>
    </row>
    <row r="147">
      <c r="A147" s="561" t="n">
        <v>138</v>
      </c>
      <c r="B147" s="562" t="inlineStr">
        <is>
          <t xml:space="preserve">Vải 75% polyester 25% Rayon  </t>
        </is>
      </c>
      <c r="C147" s="561" t="n">
        <v>1136</v>
      </c>
      <c r="D147" s="562" t="inlineStr">
        <is>
          <t xml:space="preserve">Vải 75% polyester 25% Rayon  </t>
        </is>
      </c>
      <c r="E147" s="561" t="n"/>
      <c r="F147" s="576" t="inlineStr">
        <is>
          <t>5801.37.90</t>
        </is>
      </c>
      <c r="G147" s="561" t="inlineStr">
        <is>
          <t>M2</t>
        </is>
      </c>
      <c r="H147" s="564" t="n">
        <v>0.12</v>
      </c>
    </row>
    <row r="148" ht="25.5" customHeight="1">
      <c r="A148" s="561" t="n">
        <v>139</v>
      </c>
      <c r="B148" s="562" t="inlineStr">
        <is>
          <t xml:space="preserve">Vải 40% polyester 36% Rayon 24% Cotton   </t>
        </is>
      </c>
      <c r="C148" s="561" t="n">
        <v>1137</v>
      </c>
      <c r="D148" s="562" t="inlineStr">
        <is>
          <t xml:space="preserve">Vải 40% polyester 36% Rayon 24% Cotton   </t>
        </is>
      </c>
      <c r="E148" s="561" t="n"/>
      <c r="F148" s="576" t="inlineStr">
        <is>
          <t>5801.37.90</t>
        </is>
      </c>
      <c r="G148" s="561" t="inlineStr">
        <is>
          <t>M2</t>
        </is>
      </c>
      <c r="H148" s="564" t="n">
        <v>0.12</v>
      </c>
    </row>
    <row r="149">
      <c r="A149" s="561" t="n">
        <v>140</v>
      </c>
      <c r="B149" s="562" t="inlineStr">
        <is>
          <t xml:space="preserve">Vải 27% polyester 73% Cotton </t>
        </is>
      </c>
      <c r="C149" s="561" t="n">
        <v>1138</v>
      </c>
      <c r="D149" s="562" t="inlineStr">
        <is>
          <t xml:space="preserve">Vải 27% polyester 73% Cotton </t>
        </is>
      </c>
      <c r="E149" s="561" t="n"/>
      <c r="F149" s="576" t="inlineStr">
        <is>
          <t>5801.37.90</t>
        </is>
      </c>
      <c r="G149" s="561" t="inlineStr">
        <is>
          <t>M2</t>
        </is>
      </c>
      <c r="H149" s="564" t="n">
        <v>0.12</v>
      </c>
    </row>
    <row r="150">
      <c r="A150" s="561" t="n">
        <v>141</v>
      </c>
      <c r="B150" s="562" t="inlineStr">
        <is>
          <t>Vải 71% Cotton 29 Linen</t>
        </is>
      </c>
      <c r="C150" s="561" t="n">
        <v>1139</v>
      </c>
      <c r="D150" s="562" t="inlineStr">
        <is>
          <t>Vải 71% Cotton 29 Linen</t>
        </is>
      </c>
      <c r="E150" s="561" t="n"/>
      <c r="F150" s="576" t="inlineStr">
        <is>
          <t>5801.37.90</t>
        </is>
      </c>
      <c r="G150" s="561" t="inlineStr">
        <is>
          <t>M2</t>
        </is>
      </c>
      <c r="H150" s="564" t="n">
        <v>0.12</v>
      </c>
    </row>
    <row r="151">
      <c r="A151" s="561" t="n">
        <v>142</v>
      </c>
      <c r="B151" s="562" t="inlineStr">
        <is>
          <t xml:space="preserve">Vải 27% polyester 73% Rayon  </t>
        </is>
      </c>
      <c r="C151" s="561" t="n">
        <v>1140</v>
      </c>
      <c r="D151" s="562" t="inlineStr">
        <is>
          <t xml:space="preserve">Vải 27% polyester 73% Rayon  </t>
        </is>
      </c>
      <c r="E151" s="561" t="n"/>
      <c r="F151" s="576" t="inlineStr">
        <is>
          <t>5801.37.90</t>
        </is>
      </c>
      <c r="G151" s="561" t="inlineStr">
        <is>
          <t>M2</t>
        </is>
      </c>
      <c r="H151" s="564" t="n">
        <v>0.12</v>
      </c>
    </row>
    <row r="152" ht="25.5" customHeight="1">
      <c r="A152" s="561" t="n">
        <v>143</v>
      </c>
      <c r="B152" s="562" t="inlineStr">
        <is>
          <t xml:space="preserve">Vải 90% polyester 7% Nylon 3% Spandex  </t>
        </is>
      </c>
      <c r="C152" s="561" t="n">
        <v>1141</v>
      </c>
      <c r="D152" s="562" t="inlineStr">
        <is>
          <t xml:space="preserve">Vải 90% polyester 7% Nylon 3% Spandex  </t>
        </is>
      </c>
      <c r="E152" s="561" t="n"/>
      <c r="F152" s="576" t="inlineStr">
        <is>
          <t>5801.37.90</t>
        </is>
      </c>
      <c r="G152" s="561" t="inlineStr">
        <is>
          <t>M2</t>
        </is>
      </c>
      <c r="H152" s="564" t="n">
        <v>0.12</v>
      </c>
    </row>
    <row r="153">
      <c r="A153" s="561" t="n">
        <v>144</v>
      </c>
      <c r="B153" s="562" t="inlineStr">
        <is>
          <t>dây viền (làm từ giả da) (2618x60)mm</t>
        </is>
      </c>
      <c r="C153" s="561" t="n">
        <v>1142</v>
      </c>
      <c r="D153" s="562" t="inlineStr">
        <is>
          <t>dây viền (làm từ giả da) (2618x60)mm</t>
        </is>
      </c>
      <c r="E153" s="561" t="n"/>
      <c r="F153" s="576" t="inlineStr">
        <is>
          <t>5903.10.00</t>
        </is>
      </c>
      <c r="G153" s="561" t="inlineStr">
        <is>
          <t>CAI</t>
        </is>
      </c>
      <c r="H153" s="564" t="n">
        <v>0.12</v>
      </c>
    </row>
    <row r="154">
      <c r="A154" s="561" t="n">
        <v>145</v>
      </c>
      <c r="B154" s="562" t="inlineStr">
        <is>
          <t>dây viền (làm từ giả da) (2022x60)mm</t>
        </is>
      </c>
      <c r="C154" s="561" t="n">
        <v>1143</v>
      </c>
      <c r="D154" s="562" t="inlineStr">
        <is>
          <t>dây viền (làm từ giả da) (2022x60)mm</t>
        </is>
      </c>
      <c r="E154" s="561" t="n"/>
      <c r="F154" s="576" t="inlineStr">
        <is>
          <t>5903.10.00</t>
        </is>
      </c>
      <c r="G154" s="561" t="inlineStr">
        <is>
          <t>CAI</t>
        </is>
      </c>
      <c r="H154" s="564" t="n">
        <v>0.12</v>
      </c>
    </row>
    <row r="155">
      <c r="A155" s="561" t="n">
        <v>146</v>
      </c>
      <c r="B155" s="562" t="inlineStr">
        <is>
          <t xml:space="preserve">Vải 92% polyester 8% Rayon  </t>
        </is>
      </c>
      <c r="C155" s="561" t="n">
        <v>1144</v>
      </c>
      <c r="D155" s="562" t="inlineStr">
        <is>
          <t xml:space="preserve">Vải 92% polyester 8% Rayon  </t>
        </is>
      </c>
      <c r="E155" s="561" t="n"/>
      <c r="F155" s="576" t="inlineStr">
        <is>
          <t>5801.37.90</t>
        </is>
      </c>
      <c r="G155" s="561" t="inlineStr">
        <is>
          <t>M2</t>
        </is>
      </c>
      <c r="H155" s="564" t="n">
        <v>0.12</v>
      </c>
    </row>
    <row r="156">
      <c r="A156" s="565" t="n">
        <v>147</v>
      </c>
      <c r="B156" s="566" t="inlineStr">
        <is>
          <t xml:space="preserve">Vải 46% Polyester 54% Acrylic  </t>
        </is>
      </c>
      <c r="C156" s="565" t="n">
        <v>1145</v>
      </c>
      <c r="D156" s="566" t="inlineStr">
        <is>
          <t xml:space="preserve">Vải 46% Polyester 54% Acrylic  </t>
        </is>
      </c>
      <c r="E156" s="565" t="n"/>
      <c r="F156" s="598" t="inlineStr">
        <is>
          <t>5801.37.90</t>
        </is>
      </c>
      <c r="G156" s="565" t="inlineStr">
        <is>
          <t>M2</t>
        </is>
      </c>
      <c r="H156" s="568" t="n">
        <v>0.12</v>
      </c>
    </row>
    <row r="157" ht="25.5" customHeight="1">
      <c r="A157" s="565" t="n">
        <v>148</v>
      </c>
      <c r="B157" s="566" t="inlineStr">
        <is>
          <t xml:space="preserve">Vải 63% Polyester 37% Polyester chemil   </t>
        </is>
      </c>
      <c r="C157" s="565" t="n">
        <v>1146</v>
      </c>
      <c r="D157" s="566" t="inlineStr">
        <is>
          <t xml:space="preserve">Vải 63% Polyester 37% Polyester chemil   </t>
        </is>
      </c>
      <c r="E157" s="565" t="n"/>
      <c r="F157" s="598" t="inlineStr">
        <is>
          <t>5801.37.90</t>
        </is>
      </c>
      <c r="G157" s="565" t="inlineStr">
        <is>
          <t>M2</t>
        </is>
      </c>
      <c r="H157" s="568" t="n">
        <v>0.12</v>
      </c>
    </row>
    <row r="158">
      <c r="A158" s="565" t="n">
        <v>149</v>
      </c>
      <c r="B158" s="566" t="inlineStr">
        <is>
          <t xml:space="preserve">Vải 82% Polyester 18% Rayon  </t>
        </is>
      </c>
      <c r="C158" s="565" t="n">
        <v>1147</v>
      </c>
      <c r="D158" s="566" t="inlineStr">
        <is>
          <t xml:space="preserve">Vải 82% Polyester 18% Rayon  </t>
        </is>
      </c>
      <c r="E158" s="565" t="n"/>
      <c r="F158" s="598" t="inlineStr">
        <is>
          <t>5801.37.90</t>
        </is>
      </c>
      <c r="G158" s="565" t="inlineStr">
        <is>
          <t>M2</t>
        </is>
      </c>
      <c r="H158" s="568" t="n">
        <v>0.12</v>
      </c>
    </row>
    <row r="159" ht="25.5" customHeight="1">
      <c r="A159" s="565" t="n">
        <v>150</v>
      </c>
      <c r="B159" s="566" t="inlineStr">
        <is>
          <t>Vải 28% Polyester 36% Rayon  36% Cotton</t>
        </is>
      </c>
      <c r="C159" s="565" t="n">
        <v>1148</v>
      </c>
      <c r="D159" s="566" t="inlineStr">
        <is>
          <t>Vải 28% Polyester 36% Rayon  36% Cotton</t>
        </is>
      </c>
      <c r="E159" s="565" t="n"/>
      <c r="F159" s="598" t="inlineStr">
        <is>
          <t>5801.37.90</t>
        </is>
      </c>
      <c r="G159" s="565" t="inlineStr">
        <is>
          <t>M2</t>
        </is>
      </c>
      <c r="H159" s="568" t="n">
        <v>0.12</v>
      </c>
    </row>
    <row r="160" ht="25.5" customHeight="1">
      <c r="A160" s="565" t="n">
        <v>151</v>
      </c>
      <c r="B160" s="566" t="inlineStr">
        <is>
          <t>Vải 60% Polyester 40% Polyester Chenille</t>
        </is>
      </c>
      <c r="C160" s="565" t="n">
        <v>1149</v>
      </c>
      <c r="D160" s="566" t="inlineStr">
        <is>
          <t>Vải 60% Polyester 40% Polyester Chenille</t>
        </is>
      </c>
      <c r="E160" s="565" t="n"/>
      <c r="F160" s="598" t="inlineStr">
        <is>
          <t>5801.37.90</t>
        </is>
      </c>
      <c r="G160" s="565" t="inlineStr">
        <is>
          <t>M2</t>
        </is>
      </c>
      <c r="H160" s="568" t="n">
        <v>0.12</v>
      </c>
    </row>
    <row r="161">
      <c r="A161" s="565" t="n">
        <v>152</v>
      </c>
      <c r="B161" s="566" t="inlineStr">
        <is>
          <t xml:space="preserve">Vải 95% Polyester 5% PU </t>
        </is>
      </c>
      <c r="C161" s="565" t="n">
        <v>1150</v>
      </c>
      <c r="D161" s="566" t="inlineStr">
        <is>
          <t xml:space="preserve">Vải 95% Polyester 5% PU </t>
        </is>
      </c>
      <c r="E161" s="565" t="n"/>
      <c r="F161" s="598" t="inlineStr">
        <is>
          <t>5801.37.90</t>
        </is>
      </c>
      <c r="G161" s="565" t="inlineStr">
        <is>
          <t>M2</t>
        </is>
      </c>
      <c r="H161" s="568" t="n">
        <v>0.12</v>
      </c>
    </row>
    <row r="162">
      <c r="A162" s="565" t="n">
        <v>153</v>
      </c>
      <c r="B162" s="566" t="inlineStr">
        <is>
          <t>Vải 42% Polyester 58% Rayon Chenille</t>
        </is>
      </c>
      <c r="C162" s="565" t="n">
        <v>1151</v>
      </c>
      <c r="D162" s="566" t="inlineStr">
        <is>
          <t>Vải 42% Polyester 58% Rayon Chenille</t>
        </is>
      </c>
      <c r="E162" s="565" t="n"/>
      <c r="F162" s="598" t="inlineStr">
        <is>
          <t>5801.37.90</t>
        </is>
      </c>
      <c r="G162" s="565" t="inlineStr">
        <is>
          <t>M2</t>
        </is>
      </c>
      <c r="H162" s="568" t="n">
        <v>0.12</v>
      </c>
    </row>
    <row r="163">
      <c r="A163" s="565" t="n"/>
      <c r="B163" s="566" t="inlineStr">
        <is>
          <t xml:space="preserve">Vải 77% Polyester 23% Rayon  </t>
        </is>
      </c>
      <c r="C163" s="565" t="n">
        <v>1152</v>
      </c>
      <c r="D163" s="566" t="inlineStr">
        <is>
          <t xml:space="preserve">Vải 77% Polyester 23% Rayon  </t>
        </is>
      </c>
      <c r="E163" s="565" t="n"/>
      <c r="F163" s="598" t="inlineStr">
        <is>
          <t>5801.37.90</t>
        </is>
      </c>
      <c r="G163" s="565" t="inlineStr">
        <is>
          <t>M2</t>
        </is>
      </c>
      <c r="H163" s="568" t="n">
        <v>0.12</v>
      </c>
    </row>
    <row r="164">
      <c r="A164" s="565" t="n"/>
      <c r="B164" s="566" t="inlineStr">
        <is>
          <t xml:space="preserve">Vải 47% polyester 53% Cotton </t>
        </is>
      </c>
      <c r="C164" s="565" t="n">
        <v>1153</v>
      </c>
      <c r="D164" s="566" t="inlineStr">
        <is>
          <t xml:space="preserve">Vải 47% polyester 53% Cotton </t>
        </is>
      </c>
      <c r="E164" s="565" t="n"/>
      <c r="F164" s="598" t="inlineStr">
        <is>
          <t>5801.37.90</t>
        </is>
      </c>
      <c r="G164" s="565" t="inlineStr">
        <is>
          <t>M2</t>
        </is>
      </c>
      <c r="H164" s="568" t="n">
        <v>0.12</v>
      </c>
    </row>
    <row r="165">
      <c r="A165" s="565" t="n"/>
      <c r="B165" s="566" t="inlineStr">
        <is>
          <t xml:space="preserve">Vải 45% polyester 55% Cotton </t>
        </is>
      </c>
      <c r="C165" s="565" t="n">
        <v>1154</v>
      </c>
      <c r="D165" s="566" t="inlineStr">
        <is>
          <t xml:space="preserve">Vải 45% polyester 55% Cotton </t>
        </is>
      </c>
      <c r="E165" s="565" t="n"/>
      <c r="F165" s="598" t="inlineStr">
        <is>
          <t>5801.37.90</t>
        </is>
      </c>
      <c r="G165" s="565" t="inlineStr">
        <is>
          <t>M2</t>
        </is>
      </c>
      <c r="H165" s="568" t="n">
        <v>0.12</v>
      </c>
    </row>
    <row r="166">
      <c r="A166" s="565" t="n"/>
      <c r="B166" s="601" t="inlineStr">
        <is>
          <t xml:space="preserve">Vải 60% Polyester 40% Rayon  </t>
        </is>
      </c>
      <c r="C166" s="602" t="n">
        <v>1156</v>
      </c>
      <c r="D166" s="601" t="inlineStr">
        <is>
          <t xml:space="preserve">Vải 60% Polyester 40% Rayon  </t>
        </is>
      </c>
      <c r="F166" s="603" t="inlineStr">
        <is>
          <t>5801.37.90</t>
        </is>
      </c>
      <c r="G166" s="604" t="inlineStr">
        <is>
          <t>M2</t>
        </is>
      </c>
      <c r="H166" s="605" t="n">
        <v>0.12</v>
      </c>
    </row>
    <row r="167">
      <c r="A167" s="606" t="n"/>
      <c r="B167" s="566" t="inlineStr">
        <is>
          <t xml:space="preserve">Vải 46% Polyester 54% Rayon  </t>
        </is>
      </c>
      <c r="C167" s="565" t="n">
        <v>1155</v>
      </c>
      <c r="D167" s="566" t="inlineStr">
        <is>
          <t xml:space="preserve">Vải 46% Polyester 54% Rayon  </t>
        </is>
      </c>
      <c r="E167" s="565" t="n"/>
      <c r="F167" s="576" t="inlineStr">
        <is>
          <t>5801.37.90</t>
        </is>
      </c>
      <c r="G167" s="561" t="inlineStr">
        <is>
          <t>M2</t>
        </is>
      </c>
      <c r="H167" s="564" t="n">
        <v>0.12</v>
      </c>
    </row>
    <row r="168">
      <c r="B168" s="566" t="inlineStr">
        <is>
          <t>Vải 90% Polyester 10% PU</t>
        </is>
      </c>
      <c r="C168" s="561" t="n">
        <v>1157</v>
      </c>
      <c r="D168" s="566" t="inlineStr">
        <is>
          <t>Vải 90% Polyester 10% PU</t>
        </is>
      </c>
      <c r="E168" s="561" t="n"/>
      <c r="F168" s="576" t="inlineStr">
        <is>
          <t>54076100</t>
        </is>
      </c>
      <c r="G168" s="561" t="inlineStr">
        <is>
          <t>M2</t>
        </is>
      </c>
      <c r="H168" s="564" t="n">
        <v>0.12</v>
      </c>
    </row>
    <row r="169">
      <c r="B169" s="566" t="inlineStr">
        <is>
          <t>Thanh chắn bằng gỗ cao su</t>
        </is>
      </c>
      <c r="C169" s="561" t="n">
        <v>1158</v>
      </c>
      <c r="D169" s="566" t="inlineStr">
        <is>
          <t>Thanh chắn bằng gỗ cao su</t>
        </is>
      </c>
      <c r="E169" s="561" t="n"/>
      <c r="F169" s="561" t="inlineStr">
        <is>
          <t>VN</t>
        </is>
      </c>
      <c r="G169" s="565" t="inlineStr">
        <is>
          <t>Cái</t>
        </is>
      </c>
      <c r="H169" s="561" t="n"/>
    </row>
    <row r="170" ht="25.5" customHeight="1">
      <c r="B170" s="562" t="inlineStr">
        <is>
          <t xml:space="preserve">Vải 71% Polyester 27% Cottern 2% Rayon  </t>
        </is>
      </c>
      <c r="C170" s="561" t="n">
        <v>1159</v>
      </c>
      <c r="D170" s="562" t="inlineStr">
        <is>
          <t xml:space="preserve">Vải 71% Polyester 27% Cottern 2% Rayon  </t>
        </is>
      </c>
      <c r="E170" s="561" t="n"/>
      <c r="F170" s="561" t="n">
        <v>54078100</v>
      </c>
      <c r="G170" s="561" t="inlineStr">
        <is>
          <t>M2</t>
        </is>
      </c>
      <c r="H170" s="564" t="n">
        <v>0.12</v>
      </c>
    </row>
    <row r="171">
      <c r="B171" s="562" t="inlineStr">
        <is>
          <t xml:space="preserve">Vải 26% polyester 74% Rayon  </t>
        </is>
      </c>
      <c r="C171" s="607" t="n">
        <v>1160</v>
      </c>
      <c r="D171" s="562" t="inlineStr">
        <is>
          <t xml:space="preserve">Vải 26% polyester 74% Rayon  </t>
        </is>
      </c>
      <c r="F171" s="607" t="n">
        <v>54078100</v>
      </c>
      <c r="G171" s="561" t="inlineStr">
        <is>
          <t>M2</t>
        </is>
      </c>
      <c r="H171" s="564" t="n">
        <v>0.12</v>
      </c>
    </row>
    <row r="172" ht="25.5" customHeight="1">
      <c r="B172" s="562" t="inlineStr">
        <is>
          <t>Vải 43% polyester 46% rayon 11%Cotton</t>
        </is>
      </c>
      <c r="C172" s="607" t="n">
        <v>1161</v>
      </c>
      <c r="D172" s="562" t="inlineStr">
        <is>
          <t>Vải 43% polyester 46% rayon 11%Cotton</t>
        </is>
      </c>
      <c r="F172" s="607" t="n">
        <v>54078100</v>
      </c>
      <c r="G172" s="561" t="inlineStr">
        <is>
          <t>M2</t>
        </is>
      </c>
      <c r="H172" s="564" t="n">
        <v>0.12</v>
      </c>
    </row>
    <row r="173">
      <c r="B173" s="562" t="inlineStr">
        <is>
          <t>Vải 88% polyester 12% rayon</t>
        </is>
      </c>
      <c r="C173" s="607" t="n">
        <v>1162</v>
      </c>
      <c r="D173" s="562" t="inlineStr">
        <is>
          <t>Vải 88% polyester 12% rayon</t>
        </is>
      </c>
      <c r="F173" s="607" t="n">
        <v>54078100</v>
      </c>
      <c r="G173" s="561" t="inlineStr">
        <is>
          <t>M2</t>
        </is>
      </c>
      <c r="H173" s="564" t="n">
        <v>0.12</v>
      </c>
    </row>
    <row r="174">
      <c r="B174" s="562" t="inlineStr">
        <is>
          <t>Vải 85% polyester 15% polyurethane</t>
        </is>
      </c>
      <c r="C174" s="607" t="n">
        <v>1163</v>
      </c>
      <c r="D174" s="562" t="inlineStr">
        <is>
          <t>Vải 85% polyester 15% polyurethane</t>
        </is>
      </c>
      <c r="F174" s="607" t="n">
        <v>54078100</v>
      </c>
      <c r="G174" s="561" t="inlineStr">
        <is>
          <t>M2</t>
        </is>
      </c>
      <c r="H174" s="564" t="n">
        <v>0.12</v>
      </c>
    </row>
    <row r="175">
      <c r="B175" s="562" t="inlineStr">
        <is>
          <t>Vải 80% polyester 20% polyurethane</t>
        </is>
      </c>
      <c r="C175" s="607" t="n">
        <v>1164</v>
      </c>
      <c r="D175" s="562" t="inlineStr">
        <is>
          <t>Vải 80% polyester 20% polyurethane</t>
        </is>
      </c>
      <c r="F175" s="607" t="n">
        <v>54078100</v>
      </c>
      <c r="G175" s="561" t="inlineStr">
        <is>
          <t>M2</t>
        </is>
      </c>
      <c r="H175" s="564" t="n">
        <v>0.12</v>
      </c>
    </row>
    <row r="176" ht="25.5" customHeight="1">
      <c r="B176" s="562" t="inlineStr">
        <is>
          <t xml:space="preserve">Vải giả da  PU 60% Polyurethane 40% Polycotton </t>
        </is>
      </c>
      <c r="C176" s="607" t="n">
        <v>1165</v>
      </c>
      <c r="D176" s="562" t="inlineStr">
        <is>
          <t xml:space="preserve">Vải giả da  PU 60% Polyurethane 40% Polycotton </t>
        </is>
      </c>
      <c r="F176" s="576" t="inlineStr">
        <is>
          <t>5903.20.00</t>
        </is>
      </c>
      <c r="G176" s="561" t="inlineStr">
        <is>
          <t>M2</t>
        </is>
      </c>
      <c r="H176" s="564" t="n">
        <v>0.12</v>
      </c>
    </row>
    <row r="177">
      <c r="B177" s="562" t="inlineStr">
        <is>
          <t>Hạt nhựa hips</t>
        </is>
      </c>
      <c r="C177" s="607" t="n">
        <v>1166</v>
      </c>
      <c r="D177" s="562" t="inlineStr">
        <is>
          <t>Hạt nhựa hips</t>
        </is>
      </c>
      <c r="F177" s="607" t="inlineStr">
        <is>
          <t>3903.19.21</t>
        </is>
      </c>
      <c r="G177" s="607" t="inlineStr">
        <is>
          <t>KG</t>
        </is>
      </c>
      <c r="H177" s="564" t="n">
        <v>0.05</v>
      </c>
    </row>
    <row r="178">
      <c r="B178" s="566" t="inlineStr">
        <is>
          <t xml:space="preserve">Vải 72% polyester 28% Cotton </t>
        </is>
      </c>
      <c r="C178" s="607" t="n">
        <v>1167</v>
      </c>
      <c r="D178" s="566" t="inlineStr">
        <is>
          <t xml:space="preserve">Vải 72% polyester 28% Cotton </t>
        </is>
      </c>
      <c r="F178" s="598" t="inlineStr">
        <is>
          <t>5801.37.90</t>
        </is>
      </c>
      <c r="G178" s="565" t="inlineStr">
        <is>
          <t>M2</t>
        </is>
      </c>
      <c r="H178" s="568" t="n">
        <v>0.12</v>
      </c>
    </row>
    <row r="179">
      <c r="B179" s="583" t="inlineStr">
        <is>
          <t>Vải 47% polyester 53% acrylic</t>
        </is>
      </c>
      <c r="C179" s="607" t="n">
        <v>1168</v>
      </c>
      <c r="D179" s="583" t="inlineStr">
        <is>
          <t>Vải 47% polyester 53% acrylic</t>
        </is>
      </c>
      <c r="F179" s="598" t="inlineStr">
        <is>
          <t>5801.37.90</t>
        </is>
      </c>
      <c r="G179" s="565" t="inlineStr">
        <is>
          <t>M2</t>
        </is>
      </c>
      <c r="H179" s="568" t="n">
        <v>0.12</v>
      </c>
    </row>
    <row r="180">
      <c r="B180" s="566" t="inlineStr">
        <is>
          <t xml:space="preserve">Vải 28% polyester 72% Cotton </t>
        </is>
      </c>
      <c r="C180" s="607" t="n">
        <v>1169</v>
      </c>
      <c r="D180" s="566" t="inlineStr">
        <is>
          <t xml:space="preserve">Vải 28% polyester 72% Cotton </t>
        </is>
      </c>
      <c r="F180" s="598" t="inlineStr">
        <is>
          <t>5801.37.90</t>
        </is>
      </c>
      <c r="G180" s="565" t="inlineStr">
        <is>
          <t>M2</t>
        </is>
      </c>
      <c r="H180" s="568" t="n">
        <v>0.12</v>
      </c>
    </row>
    <row r="181">
      <c r="A181" s="608" t="n"/>
      <c r="B181" s="609" t="inlineStr">
        <is>
          <t>Hạt nhựa ABS</t>
        </is>
      </c>
      <c r="C181" s="608" t="n">
        <v>1170</v>
      </c>
      <c r="D181" s="609" t="inlineStr">
        <is>
          <t>Hạt nhựa ABS</t>
        </is>
      </c>
      <c r="E181" s="608" t="n"/>
      <c r="F181" s="610" t="inlineStr">
        <is>
          <t>3903.30.60</t>
        </is>
      </c>
      <c r="G181" s="608" t="inlineStr">
        <is>
          <t>KG</t>
        </is>
      </c>
      <c r="H181" s="611" t="n">
        <v>0.03</v>
      </c>
    </row>
    <row r="182">
      <c r="A182" s="608" t="n"/>
      <c r="B182" s="566" t="inlineStr">
        <is>
          <t xml:space="preserve">Chốt gỗ </t>
        </is>
      </c>
      <c r="C182" s="565" t="n">
        <v>1171</v>
      </c>
      <c r="D182" s="562" t="inlineStr">
        <is>
          <t xml:space="preserve">CHỐT GỖ </t>
        </is>
      </c>
      <c r="E182" s="565" t="n"/>
      <c r="F182" s="598" t="inlineStr">
        <is>
          <t xml:space="preserve">VN </t>
        </is>
      </c>
      <c r="G182" s="565" t="inlineStr">
        <is>
          <t>VN</t>
        </is>
      </c>
      <c r="H182" s="568" t="inlineStr">
        <is>
          <t>VN</t>
        </is>
      </c>
    </row>
    <row r="183">
      <c r="B183" s="566" t="inlineStr">
        <is>
          <t>Hạt nhựa từ Polypropylene</t>
        </is>
      </c>
      <c r="C183" s="561" t="n">
        <v>1172</v>
      </c>
      <c r="D183" s="566" t="inlineStr">
        <is>
          <t>Hạt nhựa từ Polypropylene</t>
        </is>
      </c>
      <c r="E183" s="561" t="n"/>
      <c r="F183" s="610" t="inlineStr">
        <is>
          <t>39021090</t>
        </is>
      </c>
      <c r="G183" s="561" t="inlineStr">
        <is>
          <t>KG</t>
        </is>
      </c>
      <c r="H183" s="568" t="n">
        <v>0.01</v>
      </c>
    </row>
    <row r="184">
      <c r="B184" s="566" t="inlineStr">
        <is>
          <t xml:space="preserve">Hạt nhựa Nylon từ Polyamides </t>
        </is>
      </c>
      <c r="C184" s="561" t="n">
        <v>1173</v>
      </c>
      <c r="D184" s="566" t="inlineStr">
        <is>
          <t xml:space="preserve">Hạt nhựa Nylon từ Polyamides </t>
        </is>
      </c>
      <c r="E184" s="561" t="n"/>
      <c r="F184" s="610" t="inlineStr">
        <is>
          <t>39081090</t>
        </is>
      </c>
      <c r="G184" s="561" t="inlineStr">
        <is>
          <t>KG</t>
        </is>
      </c>
      <c r="H184" s="568" t="n">
        <v>0</v>
      </c>
    </row>
    <row r="185">
      <c r="B185" s="566" t="inlineStr">
        <is>
          <t xml:space="preserve">Hạt nhựa PC từ Polycarbonate </t>
        </is>
      </c>
      <c r="C185" s="561" t="n">
        <v>1174</v>
      </c>
      <c r="D185" s="566" t="inlineStr">
        <is>
          <t xml:space="preserve">Hạt nhựa PC từ Polycarbonate </t>
        </is>
      </c>
      <c r="E185" s="561" t="n"/>
      <c r="F185" s="610" t="inlineStr">
        <is>
          <t>39074000</t>
        </is>
      </c>
      <c r="G185" s="561" t="inlineStr">
        <is>
          <t>KG</t>
        </is>
      </c>
      <c r="H185" s="568" t="n">
        <v>0</v>
      </c>
    </row>
    <row r="186">
      <c r="A186" s="612" t="n"/>
      <c r="B186" s="613" t="inlineStr">
        <is>
          <t xml:space="preserve">Miếng lót đệm hàng </t>
        </is>
      </c>
      <c r="C186" s="614" t="n">
        <v>1175</v>
      </c>
      <c r="D186" s="613" t="inlineStr">
        <is>
          <t xml:space="preserve">Miếng lót đệm hàng </t>
        </is>
      </c>
      <c r="E186" s="615" t="n"/>
      <c r="F186" s="616" t="inlineStr">
        <is>
          <t xml:space="preserve">VN </t>
        </is>
      </c>
      <c r="G186" s="614" t="inlineStr">
        <is>
          <t>Cái</t>
        </is>
      </c>
      <c r="H186" s="615" t="n"/>
    </row>
    <row r="187">
      <c r="A187" s="612" t="n"/>
      <c r="B187" s="613" t="inlineStr">
        <is>
          <t xml:space="preserve">Keo </t>
        </is>
      </c>
      <c r="C187" s="614" t="n">
        <v>1176</v>
      </c>
      <c r="D187" s="613" t="inlineStr">
        <is>
          <t xml:space="preserve">Keo </t>
        </is>
      </c>
      <c r="E187" s="615" t="n"/>
      <c r="F187" s="616" t="inlineStr">
        <is>
          <t xml:space="preserve">VN </t>
        </is>
      </c>
      <c r="G187" s="614" t="inlineStr">
        <is>
          <t>KG</t>
        </is>
      </c>
      <c r="H187" s="615" t="n"/>
    </row>
    <row r="188">
      <c r="A188" s="612" t="n"/>
      <c r="B188" s="613" t="inlineStr">
        <is>
          <t xml:space="preserve">Giấy lót thùng </t>
        </is>
      </c>
      <c r="C188" s="614" t="n">
        <v>1177</v>
      </c>
      <c r="D188" s="613" t="inlineStr">
        <is>
          <t xml:space="preserve">Giấy lót thùng </t>
        </is>
      </c>
      <c r="E188" s="615" t="n"/>
      <c r="F188" s="616" t="inlineStr">
        <is>
          <t>VN</t>
        </is>
      </c>
      <c r="G188" s="614" t="inlineStr">
        <is>
          <t>Cái</t>
        </is>
      </c>
      <c r="H188" s="615" t="n"/>
    </row>
    <row r="189">
      <c r="A189" s="612" t="n"/>
      <c r="B189" s="613" t="inlineStr">
        <is>
          <t>Tấm đệm</t>
        </is>
      </c>
      <c r="C189" s="614" t="n">
        <v>1178</v>
      </c>
      <c r="D189" s="613" t="inlineStr">
        <is>
          <t>Tấm đệm</t>
        </is>
      </c>
      <c r="E189" s="615" t="n"/>
      <c r="F189" s="616" t="inlineStr">
        <is>
          <t>VN</t>
        </is>
      </c>
      <c r="G189" s="614" t="inlineStr">
        <is>
          <t>Cái</t>
        </is>
      </c>
      <c r="H189" s="615" t="n"/>
    </row>
    <row r="190">
      <c r="A190" s="612" t="n"/>
      <c r="B190" s="613" t="inlineStr">
        <is>
          <t>Giấy gói</t>
        </is>
      </c>
      <c r="C190" s="614" t="n">
        <v>1179</v>
      </c>
      <c r="D190" s="613" t="inlineStr">
        <is>
          <t>Giấy gói</t>
        </is>
      </c>
      <c r="E190" s="615" t="n"/>
      <c r="F190" s="616" t="inlineStr">
        <is>
          <t>VN</t>
        </is>
      </c>
      <c r="G190" s="614" t="inlineStr">
        <is>
          <t>Cái</t>
        </is>
      </c>
      <c r="H190" s="615" t="n"/>
    </row>
    <row r="191" ht="38.25" customHeight="1">
      <c r="B191" s="562" t="inlineStr">
        <is>
          <t>Quả cầu trang trí bằng thủy tinh (sản phẩm hoàn chỉnh được lắp vào các sản phẩm nội thất)</t>
        </is>
      </c>
      <c r="C191" s="561" t="n">
        <v>1180</v>
      </c>
      <c r="D191" s="562" t="inlineStr">
        <is>
          <t>Quả cầu trang trí bằng thủy tinh (sản phẩm hoàn chỉnh được lắp vào các sản phẩm nội thất)</t>
        </is>
      </c>
      <c r="E191" s="561" t="n"/>
      <c r="F191" s="561" t="n">
        <v>70021000</v>
      </c>
      <c r="G191" s="561" t="inlineStr">
        <is>
          <t>CAI</t>
        </is>
      </c>
      <c r="H191" s="568" t="n">
        <v>0.03</v>
      </c>
    </row>
    <row r="192">
      <c r="B192" s="566" t="inlineStr">
        <is>
          <t>Đế chân ghế bằng nhựa</t>
        </is>
      </c>
      <c r="C192" s="565" t="n"/>
      <c r="D192" s="566" t="inlineStr">
        <is>
          <t>Đế chân ghế bằng nhựa</t>
        </is>
      </c>
      <c r="E192" s="561" t="n"/>
      <c r="F192" s="561" t="inlineStr">
        <is>
          <t>VN</t>
        </is>
      </c>
      <c r="G192" s="565" t="inlineStr">
        <is>
          <t>Cái</t>
        </is>
      </c>
      <c r="H192" s="561" t="n"/>
    </row>
    <row r="193">
      <c r="B193" s="566" t="inlineStr">
        <is>
          <t>Lõi trang trí bằng gỗ cao su</t>
        </is>
      </c>
      <c r="C193" s="565" t="n">
        <v>1182</v>
      </c>
      <c r="D193" s="566" t="inlineStr">
        <is>
          <t>Lõi trang trí bằng gỗ cao su</t>
        </is>
      </c>
      <c r="E193" s="561" t="n"/>
      <c r="F193" s="561" t="inlineStr">
        <is>
          <t>VN</t>
        </is>
      </c>
      <c r="G193" s="565" t="inlineStr">
        <is>
          <t>Cái</t>
        </is>
      </c>
      <c r="H193" s="561" t="n"/>
    </row>
    <row r="194">
      <c r="B194" s="562" t="inlineStr">
        <is>
          <t xml:space="preserve">Dây viền đồng </t>
        </is>
      </c>
      <c r="C194" s="561" t="n">
        <v>1183</v>
      </c>
      <c r="D194" s="562" t="inlineStr">
        <is>
          <t xml:space="preserve">Dây viền đồng </t>
        </is>
      </c>
      <c r="E194" s="561" t="n"/>
      <c r="F194" s="561" t="n">
        <v>74199939</v>
      </c>
      <c r="G194" s="617" t="inlineStr">
        <is>
          <t>M</t>
        </is>
      </c>
      <c r="H194" s="568" t="n">
        <v>0</v>
      </c>
    </row>
    <row r="195">
      <c r="B195" s="562" t="inlineStr">
        <is>
          <t xml:space="preserve">Trang trí bằng nhựa mạ chrome </t>
        </is>
      </c>
      <c r="C195" s="561" t="n">
        <v>1184</v>
      </c>
      <c r="D195" s="562" t="inlineStr">
        <is>
          <t xml:space="preserve">Trang trí bằng nhựa mạ chrome </t>
        </is>
      </c>
      <c r="E195" s="561" t="n"/>
      <c r="F195" s="561" t="n">
        <v>39269099</v>
      </c>
      <c r="G195" s="617" t="inlineStr">
        <is>
          <t>M</t>
        </is>
      </c>
      <c r="H195" s="568" t="n">
        <v>0.12</v>
      </c>
    </row>
    <row r="196">
      <c r="B196" s="562" t="inlineStr">
        <is>
          <t>Chân đế bằng nhựa</t>
        </is>
      </c>
      <c r="C196" s="561" t="n">
        <v>1181</v>
      </c>
      <c r="D196" s="562">
        <f>+B196</f>
        <v/>
      </c>
      <c r="E196" s="561" t="n"/>
      <c r="F196" s="561" t="inlineStr">
        <is>
          <t>3926.30.00</t>
        </is>
      </c>
      <c r="G196" s="617" t="inlineStr">
        <is>
          <t>cái</t>
        </is>
      </c>
      <c r="H196" s="568" t="n">
        <v>0.2</v>
      </c>
    </row>
    <row r="197" ht="25.5" customHeight="1">
      <c r="B197" s="562" t="inlineStr">
        <is>
          <t>Nhựa polyester không bão hòa</t>
        </is>
      </c>
      <c r="C197" s="561" t="n">
        <v>1185</v>
      </c>
      <c r="D197" s="562" t="inlineStr">
        <is>
          <t>Nhựa Unsaturated Polyester Resin dạng lỏng (npl dùng sản xuất chân đế)</t>
        </is>
      </c>
      <c r="E197" s="561" t="n"/>
      <c r="F197" s="561" t="inlineStr">
        <is>
          <t>3907.91.30</t>
        </is>
      </c>
      <c r="G197" s="617" t="inlineStr">
        <is>
          <t>KG</t>
        </is>
      </c>
      <c r="H197" s="568" t="n">
        <v>0.05</v>
      </c>
    </row>
    <row r="198">
      <c r="B198" s="562" t="n"/>
      <c r="C198" s="561" t="n"/>
      <c r="D198" s="562" t="n"/>
      <c r="E198" s="561" t="n"/>
      <c r="F198" s="561" t="n"/>
      <c r="G198" s="617" t="n"/>
      <c r="H198" s="568" t="n"/>
    </row>
    <row r="199">
      <c r="B199" s="562" t="n"/>
      <c r="C199" s="561" t="n"/>
      <c r="D199" s="562" t="n"/>
      <c r="E199" s="561" t="n"/>
      <c r="F199" s="561" t="n"/>
      <c r="G199" s="617" t="n"/>
      <c r="H199" s="568" t="n"/>
    </row>
    <row r="200">
      <c r="B200" s="562" t="inlineStr">
        <is>
          <t>Vải 59% polyester 41% acrylic</t>
        </is>
      </c>
      <c r="C200" s="561" t="n">
        <v>1188</v>
      </c>
      <c r="D200" s="562" t="inlineStr">
        <is>
          <t>Vải 59% polyester 41% acrylic</t>
        </is>
      </c>
      <c r="E200" s="561" t="n"/>
      <c r="F200" s="563" t="inlineStr">
        <is>
          <t>5801.37.90</t>
        </is>
      </c>
      <c r="G200" s="561" t="inlineStr">
        <is>
          <t>M2</t>
        </is>
      </c>
      <c r="H200" s="564" t="n">
        <v>0.12</v>
      </c>
    </row>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c r="B1731" s="618" t="inlineStr">
        <is>
          <t>CG0100667</t>
        </is>
      </c>
    </row>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c r="B1760" s="618" t="n">
        <v>200645</v>
      </c>
      <c r="F1760" s="607" t="inlineStr">
        <is>
          <t>38MM DIA. X6MM THICK SKID PAD</t>
        </is>
      </c>
      <c r="H1760" s="607" t="n">
        <v>1086</v>
      </c>
    </row>
    <row r="1761">
      <c r="B1761" s="556" t="inlineStr">
        <is>
          <t>CH-BC0499WV</t>
        </is>
      </c>
      <c r="C1761" s="553" t="n"/>
      <c r="D1761" s="556" t="n"/>
      <c r="E1761" s="551" t="n"/>
      <c r="F1761" s="551" t="inlineStr">
        <is>
          <t>499 NC BASE COAT</t>
        </is>
      </c>
      <c r="G1761" s="555" t="n"/>
      <c r="H1761" s="553" t="n">
        <v>1057</v>
      </c>
    </row>
    <row r="1762">
      <c r="B1762" s="618" t="inlineStr">
        <is>
          <t>CH-GL0499WV</t>
        </is>
      </c>
      <c r="F1762" s="607" t="inlineStr">
        <is>
          <t>GLAZE BASE CH-6</t>
        </is>
      </c>
      <c r="H1762" s="607" t="n">
        <v>1057</v>
      </c>
    </row>
    <row r="1763">
      <c r="B1763" s="618" t="inlineStr">
        <is>
          <t>CH-GL0754WV</t>
        </is>
      </c>
      <c r="F1763" s="607" t="inlineStr">
        <is>
          <t>GLAZE BASE CH-15</t>
        </is>
      </c>
      <c r="H1763" s="607" t="n">
        <v>1057</v>
      </c>
    </row>
    <row r="1764">
      <c r="B1764" s="618" t="inlineStr">
        <is>
          <t>CH-GL0802WV</t>
        </is>
      </c>
      <c r="F1764" s="607" t="inlineStr">
        <is>
          <t>TINT FOR GLAZE B346</t>
        </is>
      </c>
      <c r="H1764" s="607" t="n">
        <v>1057</v>
      </c>
    </row>
    <row r="1765">
      <c r="B1765" s="618" t="inlineStr">
        <is>
          <t>CH-BC0754WV</t>
        </is>
      </c>
      <c r="F1765" s="607" t="inlineStr">
        <is>
          <t>754 NC BASE COAT</t>
        </is>
      </c>
      <c r="H1765" s="607" t="n">
        <v>1057</v>
      </c>
    </row>
    <row r="1766">
      <c r="B1766" s="618" t="inlineStr">
        <is>
          <t>CH-NM0241-20WV</t>
        </is>
      </c>
      <c r="F1766" s="607" t="inlineStr">
        <is>
          <t>20 SHEEN NC TOP COAT</t>
        </is>
      </c>
    </row>
  </sheetData>
  <mergeCells count="2">
    <mergeCell ref="B2:G2"/>
    <mergeCell ref="B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5.75" customWidth="1" min="1" max="1"/>
    <col width="30.25" customWidth="1" min="2" max="2"/>
    <col width="13" customWidth="1" min="3" max="3"/>
    <col width="11.75" customWidth="1" min="4" max="4"/>
    <col width="10.25" customWidth="1" min="5" max="5"/>
    <col width="17.25" customWidth="1" min="6" max="6"/>
    <col width="8" customWidth="1" min="7" max="7"/>
  </cols>
  <sheetData>
    <row r="1" ht="15.75" customHeight="1">
      <c r="F1" s="619" t="inlineStr">
        <is>
          <t xml:space="preserve">Mẫu: 06/DMNVL-SXXK </t>
        </is>
      </c>
    </row>
    <row r="2" ht="18.75" customHeight="1">
      <c r="A2" s="620" t="inlineStr">
        <is>
          <t xml:space="preserve">BAÛNG ÑAÊNG KYÙ DANH MUÏC NGUYEÂN VAÄT LIEÄU NHAÄP KHAÅU </t>
        </is>
      </c>
    </row>
    <row r="3" ht="30.75" customHeight="1">
      <c r="A3" s="621" t="inlineStr">
        <is>
          <t>ÑEÅ TRÖÏC TIEÁP SAÛN XUAÁT HAØNG XUAÁT KHAÅU</t>
        </is>
      </c>
    </row>
    <row r="4" ht="13.5" customHeight="1">
      <c r="A4" s="515" t="inlineStr">
        <is>
          <t>Teân doanh nghieäp : CTY TNHH KYÕ NGHEÄ GOÃ HOA NEÙT</t>
        </is>
      </c>
      <c r="B4" s="622" t="n"/>
      <c r="C4" s="623" t="n"/>
      <c r="D4" s="623" t="n"/>
      <c r="E4" s="624" t="n"/>
      <c r="F4" s="625" t="n"/>
    </row>
    <row r="5" ht="14.25" customHeight="1">
      <c r="A5" s="626" t="inlineStr">
        <is>
          <t>Địa chỉ :Số 11, đường số 6, KCN VSIP II, P. Hòa Phú, TP. Thủ Dầu Một,  T. Bình Dương</t>
        </is>
      </c>
      <c r="B5" s="622" t="n"/>
      <c r="C5" s="623" t="n"/>
      <c r="D5" s="623" t="n"/>
      <c r="E5" s="624" t="n"/>
      <c r="F5" s="625" t="n"/>
    </row>
    <row r="6" ht="13.5" customHeight="1">
      <c r="A6" s="515" t="inlineStr">
        <is>
          <t>Maõ soá doanh nghieäp : 3700937241</t>
        </is>
      </c>
      <c r="B6" s="622" t="n"/>
      <c r="D6" s="623" t="n"/>
      <c r="E6" s="624" t="n"/>
    </row>
    <row r="7" ht="18.75" customHeight="1">
      <c r="A7" s="515" t="inlineStr">
        <is>
          <t xml:space="preserve">Saûn phaåm döï kieán xuaát khaåu: </t>
        </is>
      </c>
      <c r="B7" s="622" t="n"/>
      <c r="C7" s="515" t="inlineStr">
        <is>
          <t>Saûn phaåm ñoà goã noäi ngoaïi thaát</t>
        </is>
      </c>
      <c r="D7" s="623" t="n"/>
      <c r="E7" s="624" t="n"/>
      <c r="F7" s="627" t="n"/>
    </row>
    <row r="8" ht="9.75" customHeight="1"/>
    <row r="9" ht="24" customHeight="1">
      <c r="A9" s="628" t="inlineStr">
        <is>
          <t>STT</t>
        </is>
      </c>
      <c r="B9" s="628" t="inlineStr">
        <is>
          <t>Teân nguyeân phuï lieäu</t>
        </is>
      </c>
      <c r="C9" s="629" t="inlineStr">
        <is>
          <t>Maõ NPL</t>
        </is>
      </c>
      <c r="D9" s="629" t="inlineStr">
        <is>
          <t>Maõ HS</t>
        </is>
      </c>
      <c r="E9" s="628" t="inlineStr">
        <is>
          <t>Ñôn vò tính</t>
        </is>
      </c>
      <c r="F9" s="628" t="inlineStr">
        <is>
          <t>Nguyeân phuï lieäu chính</t>
        </is>
      </c>
    </row>
    <row r="10">
      <c r="A10" s="630" t="n">
        <v>-1</v>
      </c>
      <c r="B10" s="630" t="n">
        <v>-2</v>
      </c>
      <c r="C10" s="630" t="n">
        <v>-3</v>
      </c>
      <c r="D10" s="630" t="n">
        <v>-4</v>
      </c>
      <c r="E10" s="630" t="n">
        <v>-5</v>
      </c>
      <c r="F10" s="630" t="n">
        <v>-6</v>
      </c>
    </row>
    <row r="11" ht="18" customHeight="1">
      <c r="A11" s="561" t="n">
        <v>1</v>
      </c>
      <c r="B11" s="562" t="inlineStr">
        <is>
          <t>Vải 100% polyester</t>
        </is>
      </c>
      <c r="C11" s="561" t="n">
        <v>1002</v>
      </c>
      <c r="D11" s="561" t="inlineStr">
        <is>
          <t>5801.37.90</t>
        </is>
      </c>
      <c r="E11" s="561" t="inlineStr">
        <is>
          <t>M2</t>
        </is>
      </c>
      <c r="F11" s="631" t="n"/>
      <c r="G11" s="632" t="n"/>
    </row>
    <row r="12" ht="18" customHeight="1">
      <c r="A12" s="633">
        <f>+A11+1</f>
        <v/>
      </c>
      <c r="B12" s="634" t="inlineStr">
        <is>
          <t>Vải 92% polyester 8% cotton</t>
        </is>
      </c>
      <c r="C12" s="635" t="n">
        <v>1079</v>
      </c>
      <c r="D12" s="635" t="inlineStr">
        <is>
          <t>5801.37.90</t>
        </is>
      </c>
      <c r="E12" s="635" t="inlineStr">
        <is>
          <t>M2</t>
        </is>
      </c>
      <c r="F12" s="636" t="n"/>
      <c r="G12" s="632" t="n"/>
    </row>
    <row r="13" ht="18" customHeight="1">
      <c r="A13" s="633">
        <f>+A12+1</f>
        <v/>
      </c>
      <c r="B13" s="637" t="inlineStr">
        <is>
          <t>Vải 72% Polyester 28% Rayon</t>
        </is>
      </c>
      <c r="C13" s="638" t="n">
        <v>1073</v>
      </c>
      <c r="D13" s="638" t="inlineStr">
        <is>
          <t>5801.37.90</t>
        </is>
      </c>
      <c r="E13" s="638" t="inlineStr">
        <is>
          <t>M2</t>
        </is>
      </c>
      <c r="F13" s="631" t="n"/>
      <c r="G13" s="632" t="n"/>
    </row>
    <row r="14" ht="18" customHeight="1">
      <c r="A14" s="633">
        <f>+A13+1</f>
        <v/>
      </c>
      <c r="B14" s="639" t="n"/>
      <c r="C14" s="631" t="n"/>
      <c r="D14" s="631" t="n"/>
      <c r="E14" s="640" t="n"/>
      <c r="F14" s="631" t="n"/>
      <c r="G14" s="632" t="n"/>
    </row>
    <row r="15" ht="18" customHeight="1">
      <c r="A15" s="633">
        <f>+A14+1</f>
        <v/>
      </c>
      <c r="B15" s="639" t="n"/>
      <c r="C15" s="631" t="n"/>
      <c r="D15" s="631" t="n"/>
      <c r="E15" s="640" t="n"/>
      <c r="F15" s="631" t="n"/>
      <c r="G15" s="632" t="n"/>
    </row>
    <row r="16" ht="18" customHeight="1">
      <c r="A16" s="633">
        <f>+A15+1</f>
        <v/>
      </c>
      <c r="B16" s="639" t="n"/>
      <c r="C16" s="631" t="n"/>
      <c r="D16" s="631" t="n"/>
      <c r="E16" s="640" t="n"/>
      <c r="F16" s="631" t="n"/>
      <c r="G16" s="632" t="n"/>
    </row>
    <row r="17" ht="18" customHeight="1">
      <c r="A17" s="633">
        <f>+A16+1</f>
        <v/>
      </c>
      <c r="B17" s="639" t="n"/>
      <c r="C17" s="631" t="n"/>
      <c r="D17" s="631" t="n"/>
      <c r="E17" s="640" t="n"/>
      <c r="F17" s="631" t="n"/>
      <c r="G17" s="632" t="n"/>
    </row>
    <row r="18" ht="18" customHeight="1">
      <c r="A18" s="633">
        <f>+A17+1</f>
        <v/>
      </c>
      <c r="B18" s="639" t="n"/>
      <c r="C18" s="631" t="n"/>
      <c r="D18" s="631" t="n"/>
      <c r="E18" s="640" t="n"/>
      <c r="F18" s="631" t="n"/>
      <c r="G18" s="632" t="n"/>
    </row>
    <row r="19" ht="18" customHeight="1">
      <c r="A19" s="633">
        <f>+A18+1</f>
        <v/>
      </c>
      <c r="B19" s="639" t="n"/>
      <c r="C19" s="631" t="n"/>
      <c r="D19" s="631" t="n"/>
      <c r="E19" s="640" t="n"/>
      <c r="F19" s="631" t="n"/>
      <c r="G19" s="632" t="n"/>
    </row>
    <row r="20" ht="18" customHeight="1">
      <c r="A20" s="633">
        <f>+A19+1</f>
        <v/>
      </c>
      <c r="B20" s="639" t="n"/>
      <c r="C20" s="631" t="n"/>
      <c r="D20" s="631" t="n"/>
      <c r="E20" s="640" t="n"/>
      <c r="F20" s="631" t="n"/>
      <c r="G20" s="632" t="n"/>
    </row>
    <row r="21" ht="18" customHeight="1">
      <c r="A21" s="633">
        <f>+A20+1</f>
        <v/>
      </c>
      <c r="B21" s="639" t="n"/>
      <c r="C21" s="631" t="n"/>
      <c r="D21" s="631" t="n"/>
      <c r="E21" s="640" t="n"/>
      <c r="F21" s="631" t="n"/>
      <c r="G21" s="632" t="n"/>
    </row>
    <row r="22" ht="19.5" customHeight="1">
      <c r="A22" s="641">
        <f>1+A21</f>
        <v/>
      </c>
      <c r="B22" s="642" t="n"/>
      <c r="C22" s="643" t="n"/>
      <c r="D22" s="643" t="n"/>
      <c r="E22" s="644" t="n"/>
      <c r="F22" s="645" t="n"/>
      <c r="G22" s="646" t="n"/>
      <c r="H22" s="646" t="n"/>
    </row>
    <row r="23" ht="19.5" customHeight="1">
      <c r="A23" s="641">
        <f>1+A22</f>
        <v/>
      </c>
      <c r="B23" s="642" t="n"/>
      <c r="C23" s="643" t="n"/>
      <c r="D23" s="643" t="n"/>
      <c r="E23" s="644" t="n"/>
      <c r="F23" s="645" t="n"/>
      <c r="G23" s="646" t="n"/>
      <c r="H23" s="646" t="n"/>
    </row>
    <row r="24" ht="19.5" customHeight="1">
      <c r="A24" s="641">
        <f>1+A23</f>
        <v/>
      </c>
      <c r="B24" s="642" t="n"/>
      <c r="C24" s="643" t="n"/>
      <c r="D24" s="643" t="n"/>
      <c r="E24" s="644" t="n"/>
      <c r="F24" s="645" t="n"/>
      <c r="G24" s="646" t="n"/>
      <c r="H24" s="646" t="n"/>
    </row>
    <row r="25" ht="19.5" customHeight="1">
      <c r="A25" s="641">
        <f>1+A24</f>
        <v/>
      </c>
      <c r="B25" s="647" t="n"/>
      <c r="C25" s="648" t="n"/>
      <c r="D25" s="648" t="n"/>
      <c r="E25" s="649" t="n"/>
      <c r="F25" s="650" t="n"/>
    </row>
    <row r="26"/>
    <row r="27" ht="13.5" customHeight="1">
      <c r="A27" s="624" t="inlineStr">
        <is>
          <t>Bình Döông, Ngaøy      thaùng      naêm 2014</t>
        </is>
      </c>
      <c r="D27" s="624">
        <f>A27</f>
        <v/>
      </c>
    </row>
    <row r="28" ht="13.5" customHeight="1">
      <c r="A28" s="651" t="inlineStr">
        <is>
          <t>Công chức hải quan tiếp nhận</t>
        </is>
      </c>
      <c r="D28" s="651" t="inlineStr">
        <is>
          <t>Giaùm ñoác Doanh nghieäp</t>
        </is>
      </c>
    </row>
    <row r="29" ht="13.5" customHeight="1">
      <c r="A29" s="652" t="inlineStr">
        <is>
          <t>(Kyù teân, ñoùng daáu coâng chöùc)</t>
        </is>
      </c>
      <c r="D29" s="652" t="inlineStr">
        <is>
          <t>(Kyù, ñoùng daáu, ghi roû hoï teân)</t>
        </is>
      </c>
    </row>
    <row r="30" ht="13.5" customHeight="1">
      <c r="B30" s="622" t="n"/>
      <c r="C30" s="623" t="n"/>
      <c r="D30" s="623" t="n"/>
      <c r="E30" s="624" t="n"/>
    </row>
  </sheetData>
  <mergeCells count="8">
    <mergeCell ref="A28:C28"/>
    <mergeCell ref="A2:F2"/>
    <mergeCell ref="D28:F28"/>
    <mergeCell ref="D29:F29"/>
    <mergeCell ref="D27:F27"/>
    <mergeCell ref="A27:C27"/>
    <mergeCell ref="A3:F3"/>
    <mergeCell ref="A29:C2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807"/>
  <sheetViews>
    <sheetView workbookViewId="0">
      <selection activeCell="A1" sqref="A1"/>
    </sheetView>
  </sheetViews>
  <sheetFormatPr baseColWidth="8" defaultRowHeight="15"/>
  <cols>
    <col width="24.75" customWidth="1" min="2" max="2"/>
    <col width="3.25" customWidth="1" min="3" max="3"/>
    <col width="2.25" customWidth="1" min="4" max="4"/>
    <col width="8" customWidth="1" min="5" max="5"/>
    <col width="37.125" customWidth="1" min="6" max="6"/>
    <col width="8.25" customWidth="1" min="7" max="7"/>
    <col width="11.25" customWidth="1" min="8" max="8"/>
    <col width="10.25" customWidth="1" min="9" max="9"/>
    <col width="13.75" customWidth="1" min="10" max="10"/>
    <col width="18.75" customWidth="1" min="12" max="12"/>
  </cols>
  <sheetData>
    <row r="1"/>
    <row r="2" ht="90" customHeight="1">
      <c r="B2" s="653" t="inlineStr">
        <is>
          <t>Item No</t>
        </is>
      </c>
      <c r="C2" s="654" t="inlineStr">
        <is>
          <t>Vendor No</t>
        </is>
      </c>
      <c r="D2" s="654" t="inlineStr">
        <is>
          <t>Vendor Name</t>
        </is>
      </c>
      <c r="E2" s="654" t="inlineStr">
        <is>
          <t>Item Class</t>
        </is>
      </c>
      <c r="F2" s="654" t="inlineStr">
        <is>
          <t>Item DSC</t>
        </is>
      </c>
      <c r="G2" s="655" t="inlineStr">
        <is>
          <t>Item Accounting Class</t>
        </is>
      </c>
      <c r="H2" s="656" t="inlineStr">
        <is>
          <t>MA NPL</t>
        </is>
      </c>
      <c r="I2" s="657" t="inlineStr">
        <is>
          <t>ĐƠN GIÁ</t>
        </is>
      </c>
      <c r="J2" s="658" t="inlineStr">
        <is>
          <t>ĐƠN VỊ TÍNH</t>
        </is>
      </c>
    </row>
    <row r="3">
      <c r="B3" s="659" t="inlineStr">
        <is>
          <t>CH-BC0174WV</t>
        </is>
      </c>
      <c r="C3" s="660" t="inlineStr">
        <is>
          <t>2127A</t>
        </is>
      </c>
      <c r="D3" s="661" t="inlineStr">
        <is>
          <t>CHUN HUA</t>
        </is>
      </c>
      <c r="E3" s="661" t="inlineStr">
        <is>
          <t>RFMI</t>
        </is>
      </c>
      <c r="F3" s="661" t="inlineStr">
        <is>
          <t>NC BASE COAT CH-1</t>
        </is>
      </c>
      <c r="G3" s="662" t="inlineStr">
        <is>
          <t>I</t>
        </is>
      </c>
      <c r="L3" s="663" t="e">
        <v>#REF!</v>
      </c>
    </row>
    <row r="4">
      <c r="B4" s="659" t="inlineStr">
        <is>
          <t>CH-BC0290WV</t>
        </is>
      </c>
      <c r="C4" s="660" t="inlineStr">
        <is>
          <t>2127A</t>
        </is>
      </c>
      <c r="D4" s="661" t="inlineStr">
        <is>
          <t>CHUN HUA</t>
        </is>
      </c>
      <c r="E4" s="661" t="inlineStr">
        <is>
          <t>RFMI</t>
        </is>
      </c>
      <c r="F4" s="661" t="inlineStr">
        <is>
          <t>BASE</t>
        </is>
      </c>
      <c r="G4" s="662" t="inlineStr">
        <is>
          <t>I</t>
        </is>
      </c>
      <c r="L4" s="663" t="e">
        <v>#REF!</v>
      </c>
    </row>
    <row r="5">
      <c r="B5" s="659" t="inlineStr">
        <is>
          <t>CH-BC0547WV</t>
        </is>
      </c>
      <c r="C5" s="660" t="inlineStr">
        <is>
          <t>2127A</t>
        </is>
      </c>
      <c r="D5" s="661" t="inlineStr">
        <is>
          <t>CHUN HUA</t>
        </is>
      </c>
      <c r="E5" s="661" t="inlineStr">
        <is>
          <t>RFMI</t>
        </is>
      </c>
      <c r="F5" s="661" t="inlineStr">
        <is>
          <t>547 NC BASE COAT</t>
        </is>
      </c>
      <c r="G5" s="662" t="inlineStr">
        <is>
          <t>I</t>
        </is>
      </c>
      <c r="H5" s="664" t="n">
        <v>1057</v>
      </c>
      <c r="I5" s="665" t="n">
        <v>3.481</v>
      </c>
      <c r="J5" s="666" t="inlineStr">
        <is>
          <t>KG</t>
        </is>
      </c>
      <c r="L5" s="663" t="e">
        <v>#REF!</v>
      </c>
    </row>
    <row r="6">
      <c r="B6" s="659" t="inlineStr">
        <is>
          <t>CH-BC0551WV</t>
        </is>
      </c>
      <c r="C6" s="660" t="inlineStr">
        <is>
          <t>2127A</t>
        </is>
      </c>
      <c r="D6" s="661" t="inlineStr">
        <is>
          <t>CHUN HUA</t>
        </is>
      </c>
      <c r="E6" s="661" t="inlineStr">
        <is>
          <t>RFMI</t>
        </is>
      </c>
      <c r="F6" s="661" t="inlineStr">
        <is>
          <t>551 NC BASE COAT CH</t>
        </is>
      </c>
      <c r="G6" s="662" t="inlineStr">
        <is>
          <t>I</t>
        </is>
      </c>
      <c r="H6" s="664" t="n">
        <v>1057</v>
      </c>
      <c r="I6" s="665" t="n">
        <v>3.76</v>
      </c>
      <c r="J6" s="666" t="inlineStr">
        <is>
          <t>KG</t>
        </is>
      </c>
      <c r="L6" s="663" t="e">
        <v>#REF!</v>
      </c>
    </row>
    <row r="7">
      <c r="B7" s="659" t="inlineStr">
        <is>
          <t>CH-BC0602WV</t>
        </is>
      </c>
      <c r="C7" s="660" t="inlineStr">
        <is>
          <t>2127A</t>
        </is>
      </c>
      <c r="D7" s="661" t="inlineStr">
        <is>
          <t>CHUN HUA</t>
        </is>
      </c>
      <c r="E7" s="661" t="inlineStr">
        <is>
          <t>RFMI</t>
        </is>
      </c>
      <c r="F7" s="661" t="inlineStr">
        <is>
          <t>602 NC BASE COAT</t>
        </is>
      </c>
      <c r="G7" s="662" t="inlineStr">
        <is>
          <t>I</t>
        </is>
      </c>
      <c r="H7" s="664" t="n">
        <v>1057</v>
      </c>
      <c r="I7" s="665" t="n">
        <v>3.481</v>
      </c>
      <c r="J7" s="666" t="inlineStr">
        <is>
          <t>KG</t>
        </is>
      </c>
      <c r="L7" s="663" t="e">
        <v>#REF!</v>
      </c>
    </row>
    <row r="8">
      <c r="B8" s="659" t="inlineStr">
        <is>
          <t>CH-GL0290-AWV</t>
        </is>
      </c>
      <c r="C8" s="660" t="inlineStr">
        <is>
          <t>2127A</t>
        </is>
      </c>
      <c r="D8" s="661" t="inlineStr">
        <is>
          <t>CHUN HUA</t>
        </is>
      </c>
      <c r="E8" s="661" t="inlineStr">
        <is>
          <t>RFMI</t>
        </is>
      </c>
      <c r="F8" s="661" t="inlineStr">
        <is>
          <t>GLAZE BASE CH-3</t>
        </is>
      </c>
      <c r="G8" s="662" t="inlineStr">
        <is>
          <t>I</t>
        </is>
      </c>
      <c r="L8" s="663" t="e">
        <v>#REF!</v>
      </c>
    </row>
    <row r="9">
      <c r="B9" s="659" t="inlineStr">
        <is>
          <t>CH-GL0290-BWV</t>
        </is>
      </c>
      <c r="C9" s="660" t="inlineStr">
        <is>
          <t>2127A</t>
        </is>
      </c>
      <c r="D9" s="661" t="inlineStr">
        <is>
          <t>CHUN HUA</t>
        </is>
      </c>
      <c r="E9" s="661" t="inlineStr">
        <is>
          <t>RFMI</t>
        </is>
      </c>
      <c r="F9" s="661" t="inlineStr">
        <is>
          <t>GLAZE BASE CH-4</t>
        </is>
      </c>
      <c r="G9" s="662" t="inlineStr">
        <is>
          <t>I</t>
        </is>
      </c>
      <c r="L9" s="663" t="e">
        <v>#REF!</v>
      </c>
    </row>
    <row r="10">
      <c r="B10" s="659" t="inlineStr">
        <is>
          <t>CH-GL0547-1WV</t>
        </is>
      </c>
      <c r="C10" s="660" t="inlineStr">
        <is>
          <t>2127A</t>
        </is>
      </c>
      <c r="D10" s="661" t="inlineStr">
        <is>
          <t>CHUN HUA</t>
        </is>
      </c>
      <c r="E10" s="661" t="inlineStr">
        <is>
          <t>RFMI</t>
        </is>
      </c>
      <c r="F10" s="661" t="inlineStr">
        <is>
          <t>GLAZE BASE CH-9</t>
        </is>
      </c>
      <c r="G10" s="662" t="inlineStr">
        <is>
          <t>I</t>
        </is>
      </c>
      <c r="H10" s="664" t="n">
        <v>1058</v>
      </c>
      <c r="I10" s="665" t="n">
        <v>10.686</v>
      </c>
      <c r="J10" s="666" t="inlineStr">
        <is>
          <t>KG</t>
        </is>
      </c>
      <c r="L10" s="663" t="e">
        <v>#REF!</v>
      </c>
    </row>
    <row r="11">
      <c r="B11" s="659" t="inlineStr">
        <is>
          <t>CH-GL0547-2WV</t>
        </is>
      </c>
      <c r="C11" s="660" t="inlineStr">
        <is>
          <t>2127A</t>
        </is>
      </c>
      <c r="D11" s="661" t="inlineStr">
        <is>
          <t>CHUN HUA</t>
        </is>
      </c>
      <c r="E11" s="661" t="inlineStr">
        <is>
          <t>RFMI</t>
        </is>
      </c>
      <c r="F11" s="661" t="inlineStr">
        <is>
          <t>GLAZE BASE CH-10</t>
        </is>
      </c>
      <c r="G11" s="662" t="inlineStr">
        <is>
          <t>I</t>
        </is>
      </c>
      <c r="H11" s="664" t="n">
        <v>1058</v>
      </c>
      <c r="I11" s="665" t="n">
        <v>10.686</v>
      </c>
      <c r="J11" s="666" t="inlineStr">
        <is>
          <t>KG</t>
        </is>
      </c>
      <c r="L11" s="663" t="e">
        <v>#REF!</v>
      </c>
    </row>
    <row r="12">
      <c r="B12" s="659" t="inlineStr">
        <is>
          <t>CH-GL0570WV</t>
        </is>
      </c>
      <c r="C12" s="660" t="inlineStr">
        <is>
          <t>2127A</t>
        </is>
      </c>
      <c r="D12" s="661" t="inlineStr">
        <is>
          <t>CHUN HUA</t>
        </is>
      </c>
      <c r="E12" s="661" t="inlineStr">
        <is>
          <t>RFMI</t>
        </is>
      </c>
      <c r="F12" s="661" t="inlineStr">
        <is>
          <t>GLAZE BASE CH-13</t>
        </is>
      </c>
      <c r="G12" s="662" t="inlineStr">
        <is>
          <t>I</t>
        </is>
      </c>
      <c r="H12" s="664" t="n">
        <v>1058</v>
      </c>
      <c r="I12" s="665" t="n">
        <v>10.69</v>
      </c>
      <c r="J12" s="666" t="inlineStr">
        <is>
          <t>KG</t>
        </is>
      </c>
      <c r="L12" s="663" t="e">
        <v>#REF!</v>
      </c>
    </row>
    <row r="13">
      <c r="B13" s="659" t="inlineStr">
        <is>
          <t>CH-GL0901WV</t>
        </is>
      </c>
      <c r="C13" s="661" t="inlineStr">
        <is>
          <t>2127A</t>
        </is>
      </c>
      <c r="D13" s="661" t="inlineStr">
        <is>
          <t>CHUN HUA</t>
        </is>
      </c>
      <c r="E13" s="661" t="inlineStr">
        <is>
          <t>RFMI</t>
        </is>
      </c>
      <c r="F13" s="661" t="inlineStr">
        <is>
          <t>DARK YELLOW TINT FOR GLAZE</t>
        </is>
      </c>
      <c r="G13" s="662" t="inlineStr">
        <is>
          <t>I</t>
        </is>
      </c>
      <c r="H13" s="664" t="n">
        <v>1058</v>
      </c>
      <c r="I13" s="665" t="n">
        <v>10.69</v>
      </c>
      <c r="J13" s="666" t="inlineStr">
        <is>
          <t>KG</t>
        </is>
      </c>
      <c r="L13" s="663" t="e">
        <v>#REF!</v>
      </c>
    </row>
    <row r="14">
      <c r="B14" s="659" t="inlineStr">
        <is>
          <t>CH-GL0902WV</t>
        </is>
      </c>
      <c r="C14" s="661" t="inlineStr">
        <is>
          <t>2127A</t>
        </is>
      </c>
      <c r="D14" s="661" t="inlineStr">
        <is>
          <t>CHUN HUA</t>
        </is>
      </c>
      <c r="E14" s="661" t="inlineStr">
        <is>
          <t>RFMI</t>
        </is>
      </c>
      <c r="F14" s="661" t="inlineStr">
        <is>
          <t>RED OXIDE TINT PASTE CH</t>
        </is>
      </c>
      <c r="G14" s="662" t="inlineStr">
        <is>
          <t>I</t>
        </is>
      </c>
      <c r="H14" s="664" t="n">
        <v>1058</v>
      </c>
      <c r="I14" s="665" t="n">
        <v>14.571</v>
      </c>
      <c r="J14" s="666" t="inlineStr">
        <is>
          <t>KG</t>
        </is>
      </c>
      <c r="L14" s="663" t="e">
        <v>#REF!</v>
      </c>
    </row>
    <row r="15">
      <c r="B15" s="659" t="inlineStr">
        <is>
          <t>CH-GL0905WV</t>
        </is>
      </c>
      <c r="C15" s="661" t="inlineStr">
        <is>
          <t>2127A</t>
        </is>
      </c>
      <c r="D15" s="661" t="inlineStr">
        <is>
          <t>CHUN HUA</t>
        </is>
      </c>
      <c r="E15" s="661" t="inlineStr">
        <is>
          <t>RFMI</t>
        </is>
      </c>
      <c r="F15" s="661" t="inlineStr">
        <is>
          <t>LITE YELLOW TINT PASTE CH</t>
        </is>
      </c>
      <c r="G15" s="662" t="inlineStr">
        <is>
          <t>I</t>
        </is>
      </c>
      <c r="H15" s="664" t="n">
        <v>1058</v>
      </c>
      <c r="I15" s="665" t="n">
        <v>22.343</v>
      </c>
      <c r="J15" s="666" t="inlineStr">
        <is>
          <t>KG</t>
        </is>
      </c>
      <c r="L15" s="663" t="e">
        <v>#REF!</v>
      </c>
    </row>
    <row r="16">
      <c r="B16" s="659" t="inlineStr">
        <is>
          <t>CH-JF0003WV</t>
        </is>
      </c>
      <c r="C16" s="661" t="inlineStr">
        <is>
          <t>2127A</t>
        </is>
      </c>
      <c r="D16" s="661" t="inlineStr">
        <is>
          <t>CHUN HUA</t>
        </is>
      </c>
      <c r="E16" s="661" t="inlineStr">
        <is>
          <t>RFMI</t>
        </is>
      </c>
      <c r="F16" s="661" t="inlineStr">
        <is>
          <t>GOLD</t>
        </is>
      </c>
      <c r="G16" s="662" t="inlineStr">
        <is>
          <t>I</t>
        </is>
      </c>
      <c r="H16" s="664" t="n">
        <v>1121</v>
      </c>
      <c r="I16" s="665" t="n">
        <v>29.95</v>
      </c>
      <c r="J16" s="666" t="inlineStr">
        <is>
          <t>KG</t>
        </is>
      </c>
      <c r="L16" s="663" t="e">
        <v>#REF!</v>
      </c>
    </row>
    <row r="17">
      <c r="B17" s="659" t="inlineStr">
        <is>
          <t>CH-JF0004WV</t>
        </is>
      </c>
      <c r="C17" s="661" t="inlineStr">
        <is>
          <t>2127A</t>
        </is>
      </c>
      <c r="D17" s="661" t="inlineStr">
        <is>
          <t>CHUN HUA</t>
        </is>
      </c>
      <c r="E17" s="661" t="inlineStr">
        <is>
          <t>RFMI</t>
        </is>
      </c>
      <c r="F17" s="661" t="inlineStr">
        <is>
          <t>RED GOLD POWDER</t>
        </is>
      </c>
      <c r="G17" s="662" t="inlineStr">
        <is>
          <t>I</t>
        </is>
      </c>
      <c r="H17" s="664" t="n">
        <v>1121</v>
      </c>
      <c r="I17" s="665" t="n">
        <v>29.95</v>
      </c>
      <c r="J17" s="666" t="inlineStr">
        <is>
          <t>KG</t>
        </is>
      </c>
      <c r="L17" s="663" t="e">
        <v>#REF!</v>
      </c>
    </row>
    <row r="18">
      <c r="B18" s="659" t="inlineStr">
        <is>
          <t>CH-JS0934WV</t>
        </is>
      </c>
      <c r="C18" s="661" t="inlineStr">
        <is>
          <t>2127A</t>
        </is>
      </c>
      <c r="D18" s="661" t="inlineStr">
        <is>
          <t>CHUN HUA</t>
        </is>
      </c>
      <c r="E18" s="661" t="inlineStr">
        <is>
          <t>RFMI</t>
        </is>
      </c>
      <c r="F18" s="661" t="inlineStr">
        <is>
          <t>RED ALCOHOL TINT PASTE CH</t>
        </is>
      </c>
      <c r="G18" s="662" t="inlineStr">
        <is>
          <t>I</t>
        </is>
      </c>
      <c r="H18" s="664" t="n">
        <v>1058</v>
      </c>
      <c r="I18" s="665" t="n">
        <v>22.667</v>
      </c>
      <c r="J18" s="666" t="inlineStr">
        <is>
          <t>KG</t>
        </is>
      </c>
      <c r="L18" s="663" t="e">
        <v>#REF!</v>
      </c>
    </row>
    <row r="19">
      <c r="B19" s="659" t="inlineStr">
        <is>
          <t>CH-JS0935WV</t>
        </is>
      </c>
      <c r="C19" s="661" t="inlineStr">
        <is>
          <t>2127A</t>
        </is>
      </c>
      <c r="D19" s="661" t="inlineStr">
        <is>
          <t>CHUN HUA</t>
        </is>
      </c>
      <c r="E19" s="661" t="inlineStr">
        <is>
          <t>RFMI</t>
        </is>
      </c>
      <c r="F19" s="661" t="inlineStr">
        <is>
          <t>YELLOW ALCOHOL TINT PASTE CH</t>
        </is>
      </c>
      <c r="G19" s="662" t="inlineStr">
        <is>
          <t>I</t>
        </is>
      </c>
      <c r="H19" s="664" t="n">
        <v>1058</v>
      </c>
      <c r="I19" s="665" t="n">
        <v>22.667</v>
      </c>
      <c r="J19" s="666" t="inlineStr">
        <is>
          <t>KG</t>
        </is>
      </c>
      <c r="L19" s="663" t="e">
        <v>#REF!</v>
      </c>
    </row>
    <row r="20">
      <c r="B20" s="659" t="inlineStr">
        <is>
          <t>CH-JS0936WV</t>
        </is>
      </c>
      <c r="C20" s="661" t="inlineStr">
        <is>
          <t>2127A</t>
        </is>
      </c>
      <c r="D20" s="661" t="inlineStr">
        <is>
          <t>CHUN HUA</t>
        </is>
      </c>
      <c r="E20" s="661" t="inlineStr">
        <is>
          <t>RFMI</t>
        </is>
      </c>
      <c r="F20" s="661" t="inlineStr">
        <is>
          <t>BLACK ALCOHOL TINT PASTE CH</t>
        </is>
      </c>
      <c r="G20" s="662" t="inlineStr">
        <is>
          <t>I</t>
        </is>
      </c>
      <c r="H20" s="664" t="n">
        <v>1058</v>
      </c>
      <c r="I20" s="665" t="n">
        <v>22.67</v>
      </c>
      <c r="J20" s="666" t="inlineStr">
        <is>
          <t>KG</t>
        </is>
      </c>
      <c r="L20" s="663" t="e">
        <v>#REF!</v>
      </c>
    </row>
    <row r="21">
      <c r="B21" s="659" t="inlineStr">
        <is>
          <t>CH-NM0225-5WV</t>
        </is>
      </c>
      <c r="C21" s="661" t="inlineStr">
        <is>
          <t>2127A</t>
        </is>
      </c>
      <c r="D21" s="661" t="inlineStr">
        <is>
          <t>CHUN HUA</t>
        </is>
      </c>
      <c r="E21" s="661" t="inlineStr">
        <is>
          <t>RFMI</t>
        </is>
      </c>
      <c r="F21" s="661" t="inlineStr">
        <is>
          <t>TOP COAT-1</t>
        </is>
      </c>
      <c r="G21" s="662" t="inlineStr">
        <is>
          <t>I</t>
        </is>
      </c>
      <c r="L21" s="663" t="e">
        <v>#REF!</v>
      </c>
    </row>
    <row r="22">
      <c r="B22" s="659" t="inlineStr">
        <is>
          <t>CH-NS9252WV</t>
        </is>
      </c>
      <c r="C22" s="661" t="inlineStr">
        <is>
          <t>2127A</t>
        </is>
      </c>
      <c r="D22" s="661" t="inlineStr">
        <is>
          <t>CHUN HUA</t>
        </is>
      </c>
      <c r="E22" s="661" t="inlineStr">
        <is>
          <t>RFMI</t>
        </is>
      </c>
      <c r="F22" s="661" t="inlineStr">
        <is>
          <t>RED TINT PASTE CH</t>
        </is>
      </c>
      <c r="G22" s="662" t="inlineStr">
        <is>
          <t>I</t>
        </is>
      </c>
      <c r="H22" s="664" t="n">
        <v>1058</v>
      </c>
      <c r="I22" s="665" t="n">
        <v>4.29</v>
      </c>
      <c r="J22" s="666" t="inlineStr">
        <is>
          <t>KG</t>
        </is>
      </c>
      <c r="L22" s="663" t="e">
        <v>#REF!</v>
      </c>
    </row>
    <row r="23">
      <c r="B23" s="659" t="inlineStr">
        <is>
          <t>CH-YF0706WV</t>
        </is>
      </c>
      <c r="C23" s="661" t="inlineStr">
        <is>
          <t>2127A</t>
        </is>
      </c>
      <c r="D23" s="661" t="inlineStr">
        <is>
          <t>CHUN HUA</t>
        </is>
      </c>
      <c r="E23" s="661" t="inlineStr">
        <is>
          <t>RFMI</t>
        </is>
      </c>
      <c r="F23" s="661" t="inlineStr">
        <is>
          <t>SILVER CH-2</t>
        </is>
      </c>
      <c r="G23" s="662" t="inlineStr">
        <is>
          <t>I</t>
        </is>
      </c>
      <c r="L23" s="663" t="e">
        <v>#REF!</v>
      </c>
    </row>
    <row r="24">
      <c r="B24" s="659" t="inlineStr">
        <is>
          <t>CH-YF8196WV</t>
        </is>
      </c>
      <c r="C24" s="661" t="inlineStr">
        <is>
          <t>2127A</t>
        </is>
      </c>
      <c r="D24" s="661" t="inlineStr">
        <is>
          <t>CHUN HUA</t>
        </is>
      </c>
      <c r="E24" s="661" t="inlineStr">
        <is>
          <t>RFMI</t>
        </is>
      </c>
      <c r="F24" s="661" t="inlineStr">
        <is>
          <t>SILVER CH-3</t>
        </is>
      </c>
      <c r="G24" s="662" t="inlineStr">
        <is>
          <t>I</t>
        </is>
      </c>
      <c r="L24" s="663" t="e">
        <v>#REF!</v>
      </c>
    </row>
    <row r="25">
      <c r="B25" s="659" t="inlineStr">
        <is>
          <t>CH-YF8801WV</t>
        </is>
      </c>
      <c r="C25" s="661" t="inlineStr">
        <is>
          <t>2127A</t>
        </is>
      </c>
      <c r="D25" s="661" t="inlineStr">
        <is>
          <t>CHUN HUA</t>
        </is>
      </c>
      <c r="E25" s="661" t="inlineStr">
        <is>
          <t>RFMI</t>
        </is>
      </c>
      <c r="F25" s="661" t="inlineStr">
        <is>
          <t>SILVER CH-4</t>
        </is>
      </c>
      <c r="G25" s="662" t="inlineStr">
        <is>
          <t>I</t>
        </is>
      </c>
      <c r="H25" s="664" t="n">
        <v>1058</v>
      </c>
      <c r="I25" s="665" t="n">
        <v>25.1</v>
      </c>
      <c r="J25" s="666" t="inlineStr">
        <is>
          <t>KG</t>
        </is>
      </c>
      <c r="L25" s="663" t="e">
        <v>#REF!</v>
      </c>
    </row>
    <row r="26">
      <c r="B26" s="659" t="n">
        <v>100068</v>
      </c>
      <c r="C26" s="661" t="inlineStr">
        <is>
          <t>2057A</t>
        </is>
      </c>
      <c r="D26" s="661" t="inlineStr">
        <is>
          <t>D.V.PHU</t>
        </is>
      </c>
      <c r="E26" s="661" t="inlineStr">
        <is>
          <t>ELIT</t>
        </is>
      </c>
      <c r="F26" s="661" t="inlineStr">
        <is>
          <t>U-ELITE50"X2.OZ BLACK 70G</t>
        </is>
      </c>
      <c r="G26" s="662" t="inlineStr">
        <is>
          <t>D</t>
        </is>
      </c>
      <c r="L26" s="663" t="e">
        <v>#REF!</v>
      </c>
    </row>
    <row r="27">
      <c r="B27" s="659" t="n">
        <v>100094</v>
      </c>
      <c r="C27" s="661" t="inlineStr">
        <is>
          <t>2013A</t>
        </is>
      </c>
      <c r="D27" s="661" t="inlineStr">
        <is>
          <t>THU HIEN.C</t>
        </is>
      </c>
      <c r="E27" s="661" t="inlineStr">
        <is>
          <t>MIS</t>
        </is>
      </c>
      <c r="F27" s="661" t="inlineStr">
        <is>
          <t>3.97MM YELLOW POLYESTER WELT</t>
        </is>
      </c>
      <c r="G27" s="662" t="inlineStr">
        <is>
          <t>D</t>
        </is>
      </c>
      <c r="L27" s="663" t="e">
        <v>#REF!</v>
      </c>
    </row>
    <row r="28">
      <c r="B28" s="659" t="n">
        <v>100129</v>
      </c>
      <c r="C28" s="661" t="inlineStr">
        <is>
          <t>2019A</t>
        </is>
      </c>
      <c r="D28" s="661" t="inlineStr">
        <is>
          <t>MIREA</t>
        </is>
      </c>
      <c r="E28" s="661" t="inlineStr">
        <is>
          <t>UEFB</t>
        </is>
      </c>
      <c r="F28" s="661" t="inlineStr">
        <is>
          <t>0.75 OZ LOWMELT FIBER 48"</t>
        </is>
      </c>
      <c r="G28" s="662" t="inlineStr">
        <is>
          <t>D</t>
        </is>
      </c>
      <c r="L28" s="663" t="e">
        <v>#REF!</v>
      </c>
    </row>
    <row r="29">
      <c r="B29" s="659" t="n">
        <v>100131</v>
      </c>
      <c r="C29" s="661" t="inlineStr">
        <is>
          <t>3A</t>
        </is>
      </c>
      <c r="D29" s="661" t="inlineStr">
        <is>
          <t>Wanvog</t>
        </is>
      </c>
      <c r="E29" s="661" t="inlineStr">
        <is>
          <t>MIS</t>
        </is>
      </c>
      <c r="F29" s="661" t="inlineStr">
        <is>
          <t>8/32" WELT CORD</t>
        </is>
      </c>
      <c r="G29" s="662" t="inlineStr">
        <is>
          <t>I</t>
        </is>
      </c>
      <c r="L29" s="663" t="e">
        <v>#REF!</v>
      </c>
    </row>
    <row r="30">
      <c r="B30" s="659" t="n">
        <v>100161</v>
      </c>
      <c r="C30" s="661" t="inlineStr">
        <is>
          <t>2019A</t>
        </is>
      </c>
      <c r="D30" s="661" t="inlineStr">
        <is>
          <t>MIREA</t>
        </is>
      </c>
      <c r="E30" s="661" t="inlineStr">
        <is>
          <t>UEFB</t>
        </is>
      </c>
      <c r="F30" s="661" t="inlineStr">
        <is>
          <t>0.75 OZ LOWMELT FIBER 34"</t>
        </is>
      </c>
      <c r="G30" s="662" t="inlineStr">
        <is>
          <t>D</t>
        </is>
      </c>
      <c r="L30" s="663" t="e">
        <v>#REF!</v>
      </c>
    </row>
    <row r="31">
      <c r="B31" s="659" t="n">
        <v>100308</v>
      </c>
      <c r="C31" s="661" t="inlineStr">
        <is>
          <t>2139A</t>
        </is>
      </c>
      <c r="D31" s="661" t="inlineStr">
        <is>
          <t>MINGLU</t>
        </is>
      </c>
      <c r="E31" s="661" t="inlineStr">
        <is>
          <t>MISN</t>
        </is>
      </c>
      <c r="F31" s="661" t="inlineStr">
        <is>
          <t>U-TYPAR 49 INCH 4.5OZ/SQYD</t>
        </is>
      </c>
      <c r="G31" s="662" t="inlineStr">
        <is>
          <t>I</t>
        </is>
      </c>
      <c r="H31" s="664" t="n">
        <v>1010</v>
      </c>
      <c r="I31" s="665" t="n">
        <v>0.6022999999999999</v>
      </c>
      <c r="J31" s="666" t="inlineStr">
        <is>
          <t>M</t>
        </is>
      </c>
      <c r="L31" s="663" t="e">
        <v>#REF!</v>
      </c>
    </row>
    <row r="32">
      <c r="B32" s="659" t="n">
        <v>100347</v>
      </c>
      <c r="C32" s="661" t="inlineStr">
        <is>
          <t>2139A</t>
        </is>
      </c>
      <c r="D32" s="661" t="inlineStr">
        <is>
          <t>MINGLU</t>
        </is>
      </c>
      <c r="E32" s="661" t="inlineStr">
        <is>
          <t>MIS</t>
        </is>
      </c>
      <c r="F32" s="661" t="inlineStr">
        <is>
          <t>UL 150 PAD 3.5 INCH WIDE</t>
        </is>
      </c>
      <c r="G32" s="662" t="inlineStr">
        <is>
          <t>I</t>
        </is>
      </c>
      <c r="L32" s="663" t="e">
        <v>#REF!</v>
      </c>
    </row>
    <row r="33">
      <c r="B33" s="659" t="n">
        <v>100350</v>
      </c>
      <c r="C33" s="661" t="inlineStr">
        <is>
          <t>2060A</t>
        </is>
      </c>
      <c r="D33" s="661" t="inlineStr">
        <is>
          <t>DAI NGOC</t>
        </is>
      </c>
      <c r="E33" s="661" t="inlineStr">
        <is>
          <t>UECD</t>
        </is>
      </c>
      <c r="F33" s="661" t="inlineStr">
        <is>
          <t>RECYCLE CARDBOARD1.6X1000X1100</t>
        </is>
      </c>
      <c r="G33" s="662" t="inlineStr">
        <is>
          <t>D</t>
        </is>
      </c>
      <c r="L33" s="663" t="e">
        <v>#REF!</v>
      </c>
    </row>
    <row r="34">
      <c r="B34" s="659" t="n">
        <v>100421</v>
      </c>
      <c r="C34" s="661" t="inlineStr">
        <is>
          <t>2057A</t>
        </is>
      </c>
      <c r="D34" s="661" t="inlineStr">
        <is>
          <t>D.V.PHU</t>
        </is>
      </c>
      <c r="E34" s="661" t="inlineStr">
        <is>
          <t>ELIT</t>
        </is>
      </c>
      <c r="F34" s="661" t="inlineStr">
        <is>
          <t>U-ELITE36"X2.OZ BLACK 70G</t>
        </is>
      </c>
      <c r="G34" s="662" t="inlineStr">
        <is>
          <t>D</t>
        </is>
      </c>
      <c r="L34" s="663" t="e">
        <v>#REF!</v>
      </c>
    </row>
    <row r="35">
      <c r="B35" s="659" t="n">
        <v>100422</v>
      </c>
      <c r="C35" s="661" t="inlineStr">
        <is>
          <t>2058A</t>
        </is>
      </c>
      <c r="D35" s="661" t="inlineStr">
        <is>
          <t>VISON</t>
        </is>
      </c>
      <c r="E35" s="661" t="inlineStr">
        <is>
          <t>ELIT</t>
        </is>
      </c>
      <c r="F35" s="661" t="inlineStr">
        <is>
          <t>U-ELITE38"X2.OZ BLACK 70G</t>
        </is>
      </c>
      <c r="G35" s="662" t="inlineStr">
        <is>
          <t>D</t>
        </is>
      </c>
      <c r="L35" s="663" t="e">
        <v>#REF!</v>
      </c>
    </row>
    <row r="36">
      <c r="B36" s="659" t="n">
        <v>100434</v>
      </c>
      <c r="C36" s="661" t="inlineStr">
        <is>
          <t>2019A</t>
        </is>
      </c>
      <c r="D36" s="661" t="inlineStr">
        <is>
          <t>MIREA</t>
        </is>
      </c>
      <c r="E36" s="661" t="inlineStr">
        <is>
          <t>UEFB</t>
        </is>
      </c>
      <c r="F36" s="661" t="inlineStr">
        <is>
          <t>0.75OZ LOWMELT FIBER 50 INCH</t>
        </is>
      </c>
      <c r="G36" s="662" t="inlineStr">
        <is>
          <t>D</t>
        </is>
      </c>
      <c r="L36" s="663" t="e">
        <v>#REF!</v>
      </c>
    </row>
    <row r="37">
      <c r="B37" s="659" t="n">
        <v>100458</v>
      </c>
      <c r="C37" s="661" t="inlineStr">
        <is>
          <t>3A</t>
        </is>
      </c>
      <c r="D37" s="661" t="inlineStr">
        <is>
          <t>Wanvog</t>
        </is>
      </c>
      <c r="E37" s="661" t="inlineStr">
        <is>
          <t>MIS</t>
        </is>
      </c>
      <c r="F37" s="661" t="inlineStr">
        <is>
          <t>1" WIDTH BLACK VELCRO LOOP</t>
        </is>
      </c>
      <c r="G37" s="662" t="inlineStr">
        <is>
          <t>I</t>
        </is>
      </c>
      <c r="H37" s="664" t="n">
        <v>1018</v>
      </c>
      <c r="I37" s="665" t="n">
        <v>0.0433</v>
      </c>
      <c r="J37" s="666" t="inlineStr">
        <is>
          <t>M</t>
        </is>
      </c>
      <c r="L37" s="663" t="e">
        <v>#REF!</v>
      </c>
    </row>
    <row r="38">
      <c r="B38" s="659" t="n">
        <v>100459</v>
      </c>
      <c r="C38" s="661" t="inlineStr">
        <is>
          <t>3A</t>
        </is>
      </c>
      <c r="D38" s="661" t="inlineStr">
        <is>
          <t>Wanvog</t>
        </is>
      </c>
      <c r="E38" s="661" t="inlineStr">
        <is>
          <t>MIS</t>
        </is>
      </c>
      <c r="F38" s="661" t="inlineStr">
        <is>
          <t>1" WIDTH BLACK VELCRO HOOK</t>
        </is>
      </c>
      <c r="G38" s="662" t="inlineStr">
        <is>
          <t>I</t>
        </is>
      </c>
      <c r="H38" s="664" t="n">
        <v>1017</v>
      </c>
      <c r="I38" s="665" t="n">
        <v>0.0433</v>
      </c>
      <c r="J38" s="666" t="inlineStr">
        <is>
          <t>M</t>
        </is>
      </c>
      <c r="L38" s="663" t="e">
        <v>#REF!</v>
      </c>
    </row>
    <row r="39">
      <c r="B39" s="659" t="n">
        <v>100477</v>
      </c>
      <c r="C39" s="661" t="inlineStr">
        <is>
          <t>2139A</t>
        </is>
      </c>
      <c r="D39" s="661" t="inlineStr">
        <is>
          <t>MINGLU</t>
        </is>
      </c>
      <c r="E39" s="661" t="inlineStr">
        <is>
          <t>MIS</t>
        </is>
      </c>
      <c r="F39" s="661" t="inlineStr">
        <is>
          <t>UL 150 PAD 22 INCH WIDE</t>
        </is>
      </c>
      <c r="G39" s="662" t="inlineStr">
        <is>
          <t>I</t>
        </is>
      </c>
      <c r="L39" s="663" t="e">
        <v>#REF!</v>
      </c>
    </row>
    <row r="40">
      <c r="B40" s="659" t="n">
        <v>100499</v>
      </c>
      <c r="C40" s="661" t="inlineStr">
        <is>
          <t>2057A</t>
        </is>
      </c>
      <c r="D40" s="661" t="inlineStr">
        <is>
          <t>D.V.PHU</t>
        </is>
      </c>
      <c r="E40" s="661" t="inlineStr">
        <is>
          <t>ELIT</t>
        </is>
      </c>
      <c r="F40" s="661" t="inlineStr">
        <is>
          <t>ELITE40"X1OZ WHITE 35G</t>
        </is>
      </c>
      <c r="G40" s="662" t="inlineStr">
        <is>
          <t>D</t>
        </is>
      </c>
      <c r="L40" s="663" t="e">
        <v>#REF!</v>
      </c>
    </row>
    <row r="41">
      <c r="B41" s="659" t="n">
        <v>100503</v>
      </c>
      <c r="C41" s="661" t="inlineStr">
        <is>
          <t>3A</t>
        </is>
      </c>
      <c r="D41" s="661" t="inlineStr">
        <is>
          <t>Wanvog</t>
        </is>
      </c>
      <c r="E41" s="661" t="inlineStr">
        <is>
          <t>RFG</t>
        </is>
      </c>
      <c r="F41" s="661" t="inlineStr">
        <is>
          <t>FRINGE VICTORIA 89001/59701</t>
        </is>
      </c>
      <c r="G41" s="662" t="inlineStr">
        <is>
          <t>I</t>
        </is>
      </c>
      <c r="L41" s="663" t="e">
        <v>#REF!</v>
      </c>
    </row>
    <row r="42">
      <c r="B42" s="659" t="n">
        <v>100523</v>
      </c>
      <c r="C42" s="661" t="inlineStr">
        <is>
          <t>2139A</t>
        </is>
      </c>
      <c r="D42" s="661" t="inlineStr">
        <is>
          <t>MINGLU</t>
        </is>
      </c>
      <c r="E42" s="661" t="inlineStr">
        <is>
          <t>MIS</t>
        </is>
      </c>
      <c r="F42" s="661" t="inlineStr">
        <is>
          <t>UL 150 350G WHITE</t>
        </is>
      </c>
      <c r="G42" s="662" t="inlineStr">
        <is>
          <t>I</t>
        </is>
      </c>
      <c r="L42" s="663" t="e">
        <v>#REF!</v>
      </c>
    </row>
    <row r="43">
      <c r="B43" s="659" t="n">
        <v>100527</v>
      </c>
      <c r="C43" s="661" t="inlineStr">
        <is>
          <t>3A</t>
        </is>
      </c>
      <c r="D43" s="661" t="inlineStr">
        <is>
          <t>Wanvog</t>
        </is>
      </c>
      <c r="E43" s="661" t="inlineStr">
        <is>
          <t>MIS</t>
        </is>
      </c>
      <c r="F43" s="661" t="inlineStr">
        <is>
          <t>1" WIDTH BEIGE VELCRO HOOK</t>
        </is>
      </c>
      <c r="G43" s="662" t="inlineStr">
        <is>
          <t>I</t>
        </is>
      </c>
      <c r="H43" s="664" t="n">
        <v>1017</v>
      </c>
      <c r="I43" s="665" t="n">
        <v>0.0433</v>
      </c>
      <c r="J43" s="666" t="inlineStr">
        <is>
          <t>M</t>
        </is>
      </c>
      <c r="L43" s="663" t="e">
        <v>#REF!</v>
      </c>
    </row>
    <row r="44">
      <c r="B44" s="659" t="n">
        <v>100544</v>
      </c>
      <c r="C44" s="661" t="inlineStr">
        <is>
          <t>2139A</t>
        </is>
      </c>
      <c r="D44" s="661" t="inlineStr">
        <is>
          <t>MINGLU</t>
        </is>
      </c>
      <c r="E44" s="661" t="inlineStr">
        <is>
          <t>MIS</t>
        </is>
      </c>
      <c r="F44" s="661" t="inlineStr">
        <is>
          <t>UL150 3.5 INCH 240G WHITE</t>
        </is>
      </c>
      <c r="G44" s="662" t="inlineStr">
        <is>
          <t>I</t>
        </is>
      </c>
      <c r="H44" s="664" t="n">
        <v>1010</v>
      </c>
      <c r="I44" s="665" t="n">
        <v>0.0423</v>
      </c>
      <c r="J44" s="666" t="inlineStr">
        <is>
          <t>M</t>
        </is>
      </c>
      <c r="L44" s="663" t="e">
        <v>#REF!</v>
      </c>
    </row>
    <row r="45">
      <c r="B45" s="659" t="n">
        <v>100547</v>
      </c>
      <c r="C45" s="661" t="inlineStr">
        <is>
          <t>3A</t>
        </is>
      </c>
      <c r="D45" s="661" t="inlineStr">
        <is>
          <t>Wanvog</t>
        </is>
      </c>
      <c r="E45" s="661" t="inlineStr">
        <is>
          <t>MIS</t>
        </is>
      </c>
      <c r="F45" s="661" t="inlineStr">
        <is>
          <t>1" WIDTH BEIGE VELCRO LOOP</t>
        </is>
      </c>
      <c r="G45" s="662" t="inlineStr">
        <is>
          <t>I</t>
        </is>
      </c>
      <c r="H45" s="664" t="n">
        <v>1018</v>
      </c>
      <c r="I45" s="665" t="n">
        <v>0.0433</v>
      </c>
      <c r="J45" s="666" t="inlineStr">
        <is>
          <t>M</t>
        </is>
      </c>
      <c r="L45" s="663" t="e">
        <v>#REF!</v>
      </c>
    </row>
    <row r="46">
      <c r="B46" s="659" t="n">
        <v>100548</v>
      </c>
      <c r="C46" s="661" t="inlineStr">
        <is>
          <t>2139A</t>
        </is>
      </c>
      <c r="D46" s="661" t="inlineStr">
        <is>
          <t>MINGLU</t>
        </is>
      </c>
      <c r="E46" s="661" t="inlineStr">
        <is>
          <t>UESH</t>
        </is>
      </c>
      <c r="F46" s="661" t="inlineStr">
        <is>
          <t>SEATHAIR 22 INCH 270G WHITE</t>
        </is>
      </c>
      <c r="G46" s="662" t="inlineStr">
        <is>
          <t>I</t>
        </is>
      </c>
      <c r="H46" s="664" t="n">
        <v>1010</v>
      </c>
      <c r="I46" s="665" t="n">
        <v>0.2991</v>
      </c>
      <c r="J46" s="666" t="inlineStr">
        <is>
          <t>M</t>
        </is>
      </c>
      <c r="L46" s="663" t="e">
        <v>#REF!</v>
      </c>
    </row>
    <row r="47">
      <c r="B47" s="659" t="n">
        <v>100549</v>
      </c>
      <c r="C47" s="661" t="inlineStr">
        <is>
          <t>2139A</t>
        </is>
      </c>
      <c r="D47" s="661" t="inlineStr">
        <is>
          <t>MINGLU</t>
        </is>
      </c>
      <c r="E47" s="661" t="inlineStr">
        <is>
          <t>UESH</t>
        </is>
      </c>
      <c r="F47" s="661" t="inlineStr">
        <is>
          <t>SEATHAIR 24 INCH 270G WHITE</t>
        </is>
      </c>
      <c r="G47" s="662" t="inlineStr">
        <is>
          <t>I</t>
        </is>
      </c>
      <c r="H47" s="664" t="n">
        <v>1010</v>
      </c>
      <c r="I47" s="665" t="n">
        <v>0.3263</v>
      </c>
      <c r="J47" s="666" t="inlineStr">
        <is>
          <t>M</t>
        </is>
      </c>
      <c r="L47" s="663" t="e">
        <v>#REF!</v>
      </c>
    </row>
    <row r="48">
      <c r="B48" s="659" t="n">
        <v>100550</v>
      </c>
      <c r="C48" s="661" t="inlineStr">
        <is>
          <t>2139A</t>
        </is>
      </c>
      <c r="D48" s="661" t="inlineStr">
        <is>
          <t>MINGLU</t>
        </is>
      </c>
      <c r="E48" s="661" t="inlineStr">
        <is>
          <t>UESH</t>
        </is>
      </c>
      <c r="F48" s="661" t="inlineStr">
        <is>
          <t>SEATHAIR 25 INCH 270G WHITE</t>
        </is>
      </c>
      <c r="G48" s="662" t="inlineStr">
        <is>
          <t>I</t>
        </is>
      </c>
      <c r="L48" s="663" t="e">
        <v>#REF!</v>
      </c>
    </row>
    <row r="49">
      <c r="B49" s="659" t="n">
        <v>100552</v>
      </c>
      <c r="C49" s="661" t="inlineStr">
        <is>
          <t>2139A</t>
        </is>
      </c>
      <c r="D49" s="661" t="inlineStr">
        <is>
          <t>MINGLU</t>
        </is>
      </c>
      <c r="E49" s="661" t="inlineStr">
        <is>
          <t>UESH</t>
        </is>
      </c>
      <c r="F49" s="661" t="inlineStr">
        <is>
          <t>SEATHAIR 26 INCH 270G WHITE</t>
        </is>
      </c>
      <c r="G49" s="662" t="inlineStr">
        <is>
          <t>I</t>
        </is>
      </c>
      <c r="L49" s="663" t="e">
        <v>#REF!</v>
      </c>
    </row>
    <row r="50">
      <c r="B50" s="659" t="n">
        <v>100553</v>
      </c>
      <c r="C50" s="661" t="inlineStr">
        <is>
          <t>2139A</t>
        </is>
      </c>
      <c r="D50" s="661" t="inlineStr">
        <is>
          <t>MINGLU</t>
        </is>
      </c>
      <c r="E50" s="661" t="inlineStr">
        <is>
          <t>UESH</t>
        </is>
      </c>
      <c r="F50" s="661" t="inlineStr">
        <is>
          <t>SEATHAIR 28 INCH 270G WHITE</t>
        </is>
      </c>
      <c r="G50" s="662" t="inlineStr">
        <is>
          <t>I</t>
        </is>
      </c>
      <c r="L50" s="663" t="e">
        <v>#REF!</v>
      </c>
    </row>
    <row r="51">
      <c r="B51" s="659" t="n">
        <v>100566</v>
      </c>
      <c r="C51" s="661" t="inlineStr">
        <is>
          <t>2139A</t>
        </is>
      </c>
      <c r="D51" s="661" t="inlineStr">
        <is>
          <t>MINGLU</t>
        </is>
      </c>
      <c r="E51" s="661" t="inlineStr">
        <is>
          <t>UESH</t>
        </is>
      </c>
      <c r="F51" s="661" t="inlineStr">
        <is>
          <t>SEATHAIR 29 INCH 270G WHITE</t>
        </is>
      </c>
      <c r="G51" s="662" t="inlineStr">
        <is>
          <t>I</t>
        </is>
      </c>
      <c r="H51" s="664" t="n">
        <v>1010</v>
      </c>
      <c r="I51" s="665" t="n">
        <v>0.3942</v>
      </c>
      <c r="J51" s="666" t="inlineStr">
        <is>
          <t>M</t>
        </is>
      </c>
      <c r="L51" s="663" t="e">
        <v>#REF!</v>
      </c>
    </row>
    <row r="52">
      <c r="B52" s="659" t="n">
        <v>100567</v>
      </c>
      <c r="C52" s="661" t="inlineStr">
        <is>
          <t>2139A</t>
        </is>
      </c>
      <c r="D52" s="661" t="inlineStr">
        <is>
          <t>MINGLU</t>
        </is>
      </c>
      <c r="E52" s="661" t="inlineStr">
        <is>
          <t>UESH</t>
        </is>
      </c>
      <c r="F52" s="661" t="inlineStr">
        <is>
          <t>SEATHAIR 40 INCH 270G WHITE</t>
        </is>
      </c>
      <c r="G52" s="662" t="inlineStr">
        <is>
          <t>I</t>
        </is>
      </c>
      <c r="H52" s="664" t="n">
        <v>1010</v>
      </c>
      <c r="I52" s="665" t="n">
        <v>0.5438</v>
      </c>
      <c r="J52" s="666" t="inlineStr">
        <is>
          <t>M</t>
        </is>
      </c>
      <c r="L52" s="663" t="e">
        <v>#REF!</v>
      </c>
    </row>
    <row r="53">
      <c r="B53" s="659" t="n">
        <v>100568</v>
      </c>
      <c r="C53" s="661" t="inlineStr">
        <is>
          <t>2139A</t>
        </is>
      </c>
      <c r="D53" s="661" t="inlineStr">
        <is>
          <t>MINGLU</t>
        </is>
      </c>
      <c r="E53" s="661" t="inlineStr">
        <is>
          <t>UESH</t>
        </is>
      </c>
      <c r="F53" s="661" t="inlineStr">
        <is>
          <t>SEATHAIR 33 INCH 270G WHITE</t>
        </is>
      </c>
      <c r="G53" s="662" t="inlineStr">
        <is>
          <t>I</t>
        </is>
      </c>
      <c r="H53" s="664" t="n">
        <v>1010</v>
      </c>
      <c r="L53" s="663" t="e">
        <v>#REF!</v>
      </c>
    </row>
    <row r="54">
      <c r="B54" s="659" t="n">
        <v>100572</v>
      </c>
      <c r="C54" s="661" t="inlineStr">
        <is>
          <t>3A</t>
        </is>
      </c>
      <c r="D54" s="661" t="inlineStr">
        <is>
          <t>Wanvog</t>
        </is>
      </c>
      <c r="E54" s="661" t="inlineStr">
        <is>
          <t>RFG</t>
        </is>
      </c>
      <c r="F54" s="661" t="inlineStr">
        <is>
          <t>FRINGE COCOA MINT 58001</t>
        </is>
      </c>
      <c r="G54" s="662" t="inlineStr">
        <is>
          <t>I</t>
        </is>
      </c>
      <c r="H54" s="664" t="n">
        <v>1038</v>
      </c>
      <c r="I54" s="665" t="n">
        <v>0.3719</v>
      </c>
      <c r="J54" s="666" t="inlineStr">
        <is>
          <t>M</t>
        </is>
      </c>
      <c r="L54" s="663" t="e">
        <v>#REF!</v>
      </c>
    </row>
    <row r="55">
      <c r="B55" s="659" t="n">
        <v>100574</v>
      </c>
      <c r="C55" s="661" t="inlineStr">
        <is>
          <t>3A</t>
        </is>
      </c>
      <c r="D55" s="661" t="inlineStr">
        <is>
          <t>Wanvog</t>
        </is>
      </c>
      <c r="E55" s="661" t="inlineStr">
        <is>
          <t>MIS</t>
        </is>
      </c>
      <c r="F55" s="661" t="inlineStr">
        <is>
          <t>DRAW STRING COTTON 0.4CM</t>
        </is>
      </c>
      <c r="G55" s="662" t="inlineStr">
        <is>
          <t>I</t>
        </is>
      </c>
      <c r="H55" s="664" t="n">
        <v>1027</v>
      </c>
      <c r="I55" s="665" t="n">
        <v>0.0169</v>
      </c>
      <c r="J55" s="666" t="inlineStr">
        <is>
          <t>M</t>
        </is>
      </c>
      <c r="L55" s="663" t="e">
        <v>#REF!</v>
      </c>
    </row>
    <row r="56">
      <c r="B56" s="659" t="n">
        <v>100576</v>
      </c>
      <c r="C56" s="661" t="inlineStr">
        <is>
          <t>2074A</t>
        </is>
      </c>
      <c r="D56" s="661" t="inlineStr">
        <is>
          <t>DUY MY</t>
        </is>
      </c>
      <c r="E56" s="661" t="inlineStr">
        <is>
          <t>MISN</t>
        </is>
      </c>
      <c r="F56" s="661" t="inlineStr">
        <is>
          <t>REINFORCEMENT BAND 1CM</t>
        </is>
      </c>
      <c r="G56" s="662" t="inlineStr">
        <is>
          <t>D</t>
        </is>
      </c>
      <c r="L56" s="663" t="e">
        <v>#REF!</v>
      </c>
    </row>
    <row r="57">
      <c r="B57" s="659" t="inlineStr">
        <is>
          <t>100601WW</t>
        </is>
      </c>
      <c r="C57" s="661" t="inlineStr">
        <is>
          <t>2038A</t>
        </is>
      </c>
      <c r="D57" s="661" t="inlineStr">
        <is>
          <t>THUONGVIET</t>
        </is>
      </c>
      <c r="E57" s="661" t="inlineStr">
        <is>
          <t>WOOD</t>
        </is>
      </c>
      <c r="F57" s="661" t="inlineStr">
        <is>
          <t>CARB MDF 432X 64X18MM</t>
        </is>
      </c>
      <c r="G57" s="662" t="inlineStr">
        <is>
          <t>D</t>
        </is>
      </c>
      <c r="L57" s="663" t="e">
        <v>#REF!</v>
      </c>
    </row>
    <row r="58">
      <c r="B58" s="659" t="inlineStr">
        <is>
          <t>100602WW</t>
        </is>
      </c>
      <c r="C58" s="661" t="inlineStr">
        <is>
          <t>2048A</t>
        </is>
      </c>
      <c r="D58" s="661" t="inlineStr">
        <is>
          <t>VINH DUC</t>
        </is>
      </c>
      <c r="E58" s="661" t="inlineStr">
        <is>
          <t>UEPP</t>
        </is>
      </c>
      <c r="F58" s="661" t="inlineStr">
        <is>
          <t>PURCHASED  FOAM 457X102X16</t>
        </is>
      </c>
      <c r="G58" s="662" t="inlineStr">
        <is>
          <t>D</t>
        </is>
      </c>
      <c r="L58" s="663" t="e">
        <v>#REF!</v>
      </c>
    </row>
    <row r="59">
      <c r="B59" s="659" t="n">
        <v>100610</v>
      </c>
      <c r="C59" s="661" t="inlineStr">
        <is>
          <t>3A</t>
        </is>
      </c>
      <c r="D59" s="661" t="inlineStr">
        <is>
          <t>Wanvog</t>
        </is>
      </c>
      <c r="E59" s="661" t="inlineStr">
        <is>
          <t>RFG</t>
        </is>
      </c>
      <c r="F59" s="661" t="inlineStr">
        <is>
          <t>FRINGE F2007 40100/99200</t>
        </is>
      </c>
      <c r="G59" s="662" t="inlineStr">
        <is>
          <t>I</t>
        </is>
      </c>
      <c r="H59" s="664" t="n">
        <v>1038</v>
      </c>
      <c r="I59" s="665" t="n">
        <v>0.4258</v>
      </c>
      <c r="J59" s="666" t="inlineStr">
        <is>
          <t>M</t>
        </is>
      </c>
      <c r="L59" s="663" t="e">
        <v>#REF!</v>
      </c>
    </row>
    <row r="60">
      <c r="B60" s="659" t="n">
        <v>100622</v>
      </c>
      <c r="C60" s="661" t="inlineStr">
        <is>
          <t>2074A</t>
        </is>
      </c>
      <c r="D60" s="661" t="inlineStr">
        <is>
          <t>DUY MY</t>
        </is>
      </c>
      <c r="E60" s="661" t="inlineStr">
        <is>
          <t>MISN</t>
        </is>
      </c>
      <c r="F60" s="661" t="inlineStr">
        <is>
          <t>REINFORCEMENT W 1" L 7.75"</t>
        </is>
      </c>
      <c r="G60" s="662" t="inlineStr">
        <is>
          <t>D</t>
        </is>
      </c>
      <c r="L60" s="663" t="e">
        <v>#REF!</v>
      </c>
    </row>
    <row r="61">
      <c r="B61" s="659" t="n">
        <v>100623</v>
      </c>
      <c r="C61" s="661" t="inlineStr">
        <is>
          <t>3A</t>
        </is>
      </c>
      <c r="D61" s="661" t="inlineStr">
        <is>
          <t>Wanvog</t>
        </is>
      </c>
      <c r="E61" s="661" t="inlineStr">
        <is>
          <t>RFG</t>
        </is>
      </c>
      <c r="F61" s="661" t="inlineStr">
        <is>
          <t>FRINGE-CARAMEL FUDGE 12600</t>
        </is>
      </c>
      <c r="G61" s="662" t="inlineStr">
        <is>
          <t>I</t>
        </is>
      </c>
      <c r="H61" s="664" t="n">
        <v>1038</v>
      </c>
      <c r="I61" s="665" t="n">
        <v>0.4551</v>
      </c>
      <c r="J61" s="666" t="inlineStr">
        <is>
          <t>M</t>
        </is>
      </c>
      <c r="L61" s="663" t="e">
        <v>#REF!</v>
      </c>
    </row>
    <row r="62">
      <c r="B62" s="659" t="n">
        <v>100627</v>
      </c>
      <c r="C62" s="661" t="inlineStr">
        <is>
          <t>2074A</t>
        </is>
      </c>
      <c r="D62" s="661" t="inlineStr">
        <is>
          <t>DUY MY</t>
        </is>
      </c>
      <c r="E62" s="661" t="inlineStr">
        <is>
          <t>MISN</t>
        </is>
      </c>
      <c r="F62" s="661" t="inlineStr">
        <is>
          <t>REINFORCEMENT W 1" L 8.25"</t>
        </is>
      </c>
      <c r="G62" s="662" t="inlineStr">
        <is>
          <t>D</t>
        </is>
      </c>
      <c r="L62" s="663" t="e">
        <v>#REF!</v>
      </c>
    </row>
    <row r="63">
      <c r="B63" s="659" t="n">
        <v>100671</v>
      </c>
      <c r="C63" s="661" t="inlineStr">
        <is>
          <t>2003A</t>
        </is>
      </c>
      <c r="D63" s="661" t="inlineStr">
        <is>
          <t>HKK</t>
        </is>
      </c>
      <c r="E63" s="661" t="inlineStr">
        <is>
          <t>MIS</t>
        </is>
      </c>
      <c r="F63" s="661" t="inlineStr">
        <is>
          <t>DARK BROWN ZIPPER CHAIN</t>
        </is>
      </c>
      <c r="G63" s="662" t="inlineStr">
        <is>
          <t>D</t>
        </is>
      </c>
      <c r="H63" s="664" t="n">
        <v>1012</v>
      </c>
      <c r="I63" s="665" t="n">
        <v>0.054</v>
      </c>
      <c r="J63" s="666" t="inlineStr">
        <is>
          <t>M</t>
        </is>
      </c>
      <c r="L63" s="663" t="e">
        <v>#REF!</v>
      </c>
    </row>
    <row r="64">
      <c r="B64" s="659" t="n">
        <v>100672</v>
      </c>
      <c r="C64" s="661" t="inlineStr">
        <is>
          <t>2003A</t>
        </is>
      </c>
      <c r="D64" s="661" t="inlineStr">
        <is>
          <t>HKK</t>
        </is>
      </c>
      <c r="E64" s="661" t="inlineStr">
        <is>
          <t>MIS</t>
        </is>
      </c>
      <c r="F64" s="661" t="inlineStr">
        <is>
          <t>DARK BROWN ZIPPER SLIDE</t>
        </is>
      </c>
      <c r="G64" s="662" t="inlineStr">
        <is>
          <t>D</t>
        </is>
      </c>
      <c r="H64" s="664" t="n">
        <v>1013</v>
      </c>
      <c r="I64" s="665" t="n">
        <v>0.016</v>
      </c>
      <c r="J64" s="666" t="inlineStr">
        <is>
          <t>EA</t>
        </is>
      </c>
      <c r="L64" s="663" t="e">
        <v>#REF!</v>
      </c>
    </row>
    <row r="65">
      <c r="B65" s="659" t="n">
        <v>100674</v>
      </c>
      <c r="C65" s="661" t="inlineStr">
        <is>
          <t>3A</t>
        </is>
      </c>
      <c r="D65" s="661" t="inlineStr">
        <is>
          <t>Wanvog</t>
        </is>
      </c>
      <c r="E65" s="661" t="inlineStr">
        <is>
          <t>MIS</t>
        </is>
      </c>
      <c r="F65" s="661" t="inlineStr">
        <is>
          <t>1" WIDE DARK BROWN VELCRO LP</t>
        </is>
      </c>
      <c r="G65" s="662" t="inlineStr">
        <is>
          <t>I</t>
        </is>
      </c>
      <c r="H65" s="664" t="n">
        <v>1018</v>
      </c>
      <c r="I65" s="665" t="n">
        <v>0.0433</v>
      </c>
      <c r="J65" s="666" t="inlineStr">
        <is>
          <t>M</t>
        </is>
      </c>
      <c r="L65" s="663" t="e">
        <v>#REF!</v>
      </c>
    </row>
    <row r="66">
      <c r="B66" s="659" t="n">
        <v>100675</v>
      </c>
      <c r="C66" s="661" t="inlineStr">
        <is>
          <t>3A</t>
        </is>
      </c>
      <c r="D66" s="661" t="inlineStr">
        <is>
          <t>Wanvog</t>
        </is>
      </c>
      <c r="E66" s="661" t="inlineStr">
        <is>
          <t>MIS</t>
        </is>
      </c>
      <c r="F66" s="661" t="inlineStr">
        <is>
          <t>2" WIDE DARK BROWN VELCRO HK</t>
        </is>
      </c>
      <c r="G66" s="662" t="inlineStr">
        <is>
          <t>I</t>
        </is>
      </c>
      <c r="H66" s="664" t="n">
        <v>1017</v>
      </c>
      <c r="I66" s="665" t="n">
        <v>0.0866</v>
      </c>
      <c r="J66" s="666" t="inlineStr">
        <is>
          <t>M</t>
        </is>
      </c>
      <c r="L66" s="663" t="e">
        <v>#REF!</v>
      </c>
    </row>
    <row r="67">
      <c r="B67" s="659" t="n">
        <v>100676</v>
      </c>
      <c r="C67" s="661" t="inlineStr">
        <is>
          <t>3A</t>
        </is>
      </c>
      <c r="D67" s="661" t="inlineStr">
        <is>
          <t>Wanvog</t>
        </is>
      </c>
      <c r="E67" s="661" t="inlineStr">
        <is>
          <t>MIS</t>
        </is>
      </c>
      <c r="F67" s="661" t="inlineStr">
        <is>
          <t>2" WIDE DARK BROWN VELCRO LP</t>
        </is>
      </c>
      <c r="G67" s="662" t="inlineStr">
        <is>
          <t>I</t>
        </is>
      </c>
      <c r="H67" s="664" t="n">
        <v>1018</v>
      </c>
      <c r="I67" s="665" t="n">
        <v>0.0866</v>
      </c>
      <c r="J67" s="666" t="inlineStr">
        <is>
          <t>M</t>
        </is>
      </c>
      <c r="L67" s="663" t="e">
        <v>#REF!</v>
      </c>
    </row>
    <row r="68">
      <c r="B68" s="659" t="n">
        <v>100679</v>
      </c>
      <c r="C68" s="661" t="inlineStr">
        <is>
          <t>2139A</t>
        </is>
      </c>
      <c r="D68" s="661" t="inlineStr">
        <is>
          <t>MINGLU</t>
        </is>
      </c>
      <c r="E68" s="661" t="inlineStr">
        <is>
          <t>MIS</t>
        </is>
      </c>
      <c r="F68" s="661" t="inlineStr">
        <is>
          <t>UL150 3.5 INCH 550G WHITE</t>
        </is>
      </c>
      <c r="G68" s="662" t="inlineStr">
        <is>
          <t>I</t>
        </is>
      </c>
      <c r="L68" s="663" t="e">
        <v>#REF!</v>
      </c>
    </row>
    <row r="69">
      <c r="B69" s="659" t="n">
        <v>100680</v>
      </c>
      <c r="C69" s="661" t="inlineStr">
        <is>
          <t>2054A</t>
        </is>
      </c>
      <c r="D69" s="661" t="inlineStr">
        <is>
          <t>INNOPACK</t>
        </is>
      </c>
      <c r="E69" s="661" t="inlineStr">
        <is>
          <t>UECD</t>
        </is>
      </c>
      <c r="F69" s="661" t="inlineStr">
        <is>
          <t>RECYCLE CB 3.2X1100X800 PANEL</t>
        </is>
      </c>
      <c r="G69" s="662" t="inlineStr">
        <is>
          <t>D</t>
        </is>
      </c>
      <c r="L69" s="663" t="e">
        <v>#REF!</v>
      </c>
    </row>
    <row r="70">
      <c r="B70" s="659" t="n">
        <v>100681</v>
      </c>
      <c r="C70" s="661" t="inlineStr">
        <is>
          <t>2054A</t>
        </is>
      </c>
      <c r="D70" s="661" t="inlineStr">
        <is>
          <t>INNOPACK</t>
        </is>
      </c>
      <c r="E70" s="661" t="inlineStr">
        <is>
          <t>UECD</t>
        </is>
      </c>
      <c r="F70" s="661" t="inlineStr">
        <is>
          <t>RECYCLE CB 3.2X1000X1100 PANEL</t>
        </is>
      </c>
      <c r="G70" s="662" t="inlineStr">
        <is>
          <t>D</t>
        </is>
      </c>
      <c r="L70" s="663" t="e">
        <v>#REF!</v>
      </c>
    </row>
    <row r="71">
      <c r="B71" s="659" t="n">
        <v>100699</v>
      </c>
      <c r="C71" s="661" t="inlineStr">
        <is>
          <t>3A</t>
        </is>
      </c>
      <c r="D71" s="661" t="inlineStr">
        <is>
          <t>Wanvog</t>
        </is>
      </c>
      <c r="E71" s="661" t="inlineStr">
        <is>
          <t>RFG</t>
        </is>
      </c>
      <c r="F71" s="661" t="inlineStr">
        <is>
          <t>FRINGE-NATURE WALK 45100</t>
        </is>
      </c>
      <c r="G71" s="662" t="inlineStr">
        <is>
          <t>I</t>
        </is>
      </c>
      <c r="H71" s="664" t="n">
        <v>1038</v>
      </c>
      <c r="I71" s="665" t="n">
        <v>0.4258</v>
      </c>
      <c r="J71" s="666" t="inlineStr">
        <is>
          <t>M</t>
        </is>
      </c>
      <c r="L71" s="663" t="e">
        <v>#REF!</v>
      </c>
    </row>
    <row r="72">
      <c r="B72" s="659" t="n">
        <v>100700</v>
      </c>
      <c r="C72" s="661" t="inlineStr">
        <is>
          <t>3A</t>
        </is>
      </c>
      <c r="D72" s="661" t="inlineStr">
        <is>
          <t>Wanvog</t>
        </is>
      </c>
      <c r="E72" s="661" t="inlineStr">
        <is>
          <t>RFG</t>
        </is>
      </c>
      <c r="F72" s="661" t="inlineStr">
        <is>
          <t>FRINGE-HOT CHOCOLATE 53400</t>
        </is>
      </c>
      <c r="G72" s="662" t="inlineStr">
        <is>
          <t>I</t>
        </is>
      </c>
      <c r="H72" s="664" t="n">
        <v>1038</v>
      </c>
      <c r="I72" s="665" t="n">
        <v>0.4771</v>
      </c>
      <c r="J72" s="666" t="inlineStr">
        <is>
          <t>M</t>
        </is>
      </c>
      <c r="L72" s="663" t="e">
        <v>#REF!</v>
      </c>
    </row>
    <row r="73">
      <c r="B73" s="659" t="n">
        <v>100707</v>
      </c>
      <c r="C73" s="661" t="inlineStr">
        <is>
          <t>3A</t>
        </is>
      </c>
      <c r="D73" s="661" t="inlineStr">
        <is>
          <t>Wanvog</t>
        </is>
      </c>
      <c r="E73" s="661" t="inlineStr">
        <is>
          <t>RFG</t>
        </is>
      </c>
      <c r="F73" s="661" t="inlineStr">
        <is>
          <t>FRINGE-COLONIAL368/373/37400</t>
        </is>
      </c>
      <c r="G73" s="662" t="inlineStr">
        <is>
          <t>I</t>
        </is>
      </c>
      <c r="H73" s="664" t="n">
        <v>1038</v>
      </c>
      <c r="I73" s="665" t="n">
        <v>0.4669</v>
      </c>
      <c r="J73" s="666" t="inlineStr">
        <is>
          <t>M</t>
        </is>
      </c>
      <c r="L73" s="663" t="e">
        <v>#REF!</v>
      </c>
    </row>
    <row r="74">
      <c r="B74" s="659" t="n">
        <v>100710</v>
      </c>
      <c r="C74" s="661" t="inlineStr">
        <is>
          <t>3A</t>
        </is>
      </c>
      <c r="D74" s="661" t="inlineStr">
        <is>
          <t>Wanvog</t>
        </is>
      </c>
      <c r="E74" s="661" t="inlineStr">
        <is>
          <t>RFG</t>
        </is>
      </c>
      <c r="F74" s="661" t="inlineStr">
        <is>
          <t>FRINGE-WREN 34102</t>
        </is>
      </c>
      <c r="G74" s="662" t="inlineStr">
        <is>
          <t>I</t>
        </is>
      </c>
      <c r="H74" s="664" t="n">
        <v>1038</v>
      </c>
      <c r="I74" s="665" t="n">
        <v>0.4155</v>
      </c>
      <c r="J74" s="666" t="inlineStr">
        <is>
          <t>M</t>
        </is>
      </c>
      <c r="L74" s="663" t="e">
        <v>#REF!</v>
      </c>
    </row>
    <row r="75">
      <c r="B75" s="659" t="n">
        <v>100714</v>
      </c>
      <c r="C75" s="661" t="inlineStr">
        <is>
          <t>2101A</t>
        </is>
      </c>
      <c r="D75" s="661" t="inlineStr">
        <is>
          <t>Fortune</t>
        </is>
      </c>
      <c r="E75" s="661" t="inlineStr">
        <is>
          <t>RFG</t>
        </is>
      </c>
      <c r="F75" s="661" t="inlineStr">
        <is>
          <t>FRINGE-SPRUCE TREE 37800</t>
        </is>
      </c>
      <c r="G75" s="662" t="inlineStr">
        <is>
          <t>I</t>
        </is>
      </c>
      <c r="L75" s="663" t="e">
        <v>#REF!</v>
      </c>
    </row>
    <row r="76">
      <c r="B76" s="659" t="n">
        <v>100724</v>
      </c>
      <c r="C76" s="661" t="inlineStr">
        <is>
          <t>2139A</t>
        </is>
      </c>
      <c r="D76" s="661" t="inlineStr">
        <is>
          <t>MINGLU</t>
        </is>
      </c>
      <c r="E76" s="661" t="inlineStr">
        <is>
          <t>MIS</t>
        </is>
      </c>
      <c r="F76" s="661" t="inlineStr">
        <is>
          <t>UL150 W/TYPAR 3.5" 260G WHITE</t>
        </is>
      </c>
      <c r="G76" s="662" t="inlineStr">
        <is>
          <t>I</t>
        </is>
      </c>
      <c r="H76" s="664" t="n">
        <v>1010</v>
      </c>
      <c r="I76" s="665" t="n">
        <v>0.0641</v>
      </c>
      <c r="J76" s="666" t="inlineStr">
        <is>
          <t>M</t>
        </is>
      </c>
      <c r="L76" s="663" t="e">
        <v>#REF!</v>
      </c>
    </row>
    <row r="77">
      <c r="B77" s="659" t="n">
        <v>100728</v>
      </c>
      <c r="C77" s="661" t="inlineStr">
        <is>
          <t>2054A</t>
        </is>
      </c>
      <c r="D77" s="661" t="inlineStr">
        <is>
          <t>INNOPACK</t>
        </is>
      </c>
      <c r="E77" s="661" t="inlineStr">
        <is>
          <t>UECD</t>
        </is>
      </c>
      <c r="F77" s="661" t="inlineStr">
        <is>
          <t>RECYCLE CB 3.2X900X800 PANEL</t>
        </is>
      </c>
      <c r="G77" s="662" t="inlineStr">
        <is>
          <t>D</t>
        </is>
      </c>
      <c r="J77" s="666" t="n"/>
      <c r="L77" s="663" t="e">
        <v>#REF!</v>
      </c>
    </row>
    <row r="78">
      <c r="B78" s="659" t="n">
        <v>100729</v>
      </c>
      <c r="C78" s="661" t="inlineStr">
        <is>
          <t>2060A</t>
        </is>
      </c>
      <c r="D78" s="661" t="inlineStr">
        <is>
          <t>DAI NGOC</t>
        </is>
      </c>
      <c r="E78" s="661" t="inlineStr">
        <is>
          <t>UECD</t>
        </is>
      </c>
      <c r="F78" s="661" t="inlineStr">
        <is>
          <t>RECYCLE CB 1.6X900X800 PANEL</t>
        </is>
      </c>
      <c r="G78" s="662" t="inlineStr">
        <is>
          <t>D</t>
        </is>
      </c>
      <c r="L78" s="663" t="e">
        <v>#REF!</v>
      </c>
    </row>
    <row r="79">
      <c r="B79" s="659" t="n">
        <v>100732</v>
      </c>
      <c r="C79" s="661" t="inlineStr">
        <is>
          <t>2054A</t>
        </is>
      </c>
      <c r="D79" s="661" t="inlineStr">
        <is>
          <t>INNOPACK</t>
        </is>
      </c>
      <c r="E79" s="661" t="inlineStr">
        <is>
          <t>UECD</t>
        </is>
      </c>
      <c r="F79" s="661" t="inlineStr">
        <is>
          <t>RECYCLE CB 3.2X1500X800 PANEL</t>
        </is>
      </c>
      <c r="G79" s="662" t="inlineStr">
        <is>
          <t>D</t>
        </is>
      </c>
      <c r="L79" s="663" t="e">
        <v>#REF!</v>
      </c>
    </row>
    <row r="80">
      <c r="B80" s="659" t="n">
        <v>100740</v>
      </c>
      <c r="C80" s="661" t="inlineStr">
        <is>
          <t>3A</t>
        </is>
      </c>
      <c r="D80" s="661" t="inlineStr">
        <is>
          <t>Wanvog</t>
        </is>
      </c>
      <c r="E80" s="661" t="inlineStr">
        <is>
          <t>MIS</t>
        </is>
      </c>
      <c r="F80" s="661" t="inlineStr">
        <is>
          <t>FIBER DYED ZIPPER CHAIN</t>
        </is>
      </c>
      <c r="G80" s="662" t="inlineStr">
        <is>
          <t>I</t>
        </is>
      </c>
      <c r="H80" s="664" t="n">
        <v>1012</v>
      </c>
      <c r="I80" s="665" t="n">
        <v>0.0613</v>
      </c>
      <c r="J80" s="666" t="inlineStr">
        <is>
          <t>M</t>
        </is>
      </c>
      <c r="L80" s="663" t="e">
        <v>#REF!</v>
      </c>
    </row>
    <row r="81">
      <c r="B81" s="659" t="n">
        <v>100743</v>
      </c>
      <c r="C81" s="661" t="inlineStr">
        <is>
          <t>3A</t>
        </is>
      </c>
      <c r="D81" s="661" t="inlineStr">
        <is>
          <t>Wanvog</t>
        </is>
      </c>
      <c r="E81" s="661" t="inlineStr">
        <is>
          <t>RFG</t>
        </is>
      </c>
      <c r="F81" s="661" t="inlineStr">
        <is>
          <t>FRINGE HARMONY 37100</t>
        </is>
      </c>
      <c r="G81" s="662" t="inlineStr">
        <is>
          <t>I</t>
        </is>
      </c>
      <c r="H81" s="664" t="n">
        <v>1038</v>
      </c>
      <c r="I81" s="665" t="n">
        <v>0.4669</v>
      </c>
      <c r="J81" s="666" t="inlineStr">
        <is>
          <t>M</t>
        </is>
      </c>
      <c r="L81" s="663" t="e">
        <v>#REF!</v>
      </c>
    </row>
    <row r="82">
      <c r="B82" s="659" t="n">
        <v>100750</v>
      </c>
      <c r="C82" s="661" t="inlineStr">
        <is>
          <t>3A</t>
        </is>
      </c>
      <c r="D82" s="661" t="inlineStr">
        <is>
          <t>Wanvog</t>
        </is>
      </c>
      <c r="E82" s="661" t="inlineStr">
        <is>
          <t>RFG</t>
        </is>
      </c>
      <c r="F82" s="661" t="inlineStr">
        <is>
          <t>FRINGE ROBINS NEST80901</t>
        </is>
      </c>
      <c r="G82" s="662" t="inlineStr">
        <is>
          <t>I</t>
        </is>
      </c>
      <c r="H82" s="664" t="n">
        <v>1038</v>
      </c>
      <c r="I82" s="665" t="n">
        <v>0.4845</v>
      </c>
      <c r="J82" s="666" t="inlineStr">
        <is>
          <t>M</t>
        </is>
      </c>
      <c r="L82" s="663" t="e">
        <v>#REF!</v>
      </c>
    </row>
    <row r="83">
      <c r="B83" s="659" t="n">
        <v>100759</v>
      </c>
      <c r="C83" s="661" t="inlineStr">
        <is>
          <t>2101A</t>
        </is>
      </c>
      <c r="D83" s="661" t="inlineStr">
        <is>
          <t>Fortune</t>
        </is>
      </c>
      <c r="E83" s="661" t="inlineStr">
        <is>
          <t>RFG</t>
        </is>
      </c>
      <c r="F83" s="661" t="inlineStr">
        <is>
          <t>FRINGE HARVEST MUM</t>
        </is>
      </c>
      <c r="G83" s="662" t="inlineStr">
        <is>
          <t>I</t>
        </is>
      </c>
      <c r="L83" s="663" t="e">
        <v>#REF!</v>
      </c>
    </row>
    <row r="84">
      <c r="B84" s="659" t="n">
        <v>100775</v>
      </c>
      <c r="C84" s="661" t="inlineStr">
        <is>
          <t>2060A</t>
        </is>
      </c>
      <c r="D84" s="661" t="inlineStr">
        <is>
          <t>DAI NGOC</t>
        </is>
      </c>
      <c r="E84" s="661" t="inlineStr">
        <is>
          <t>UECD</t>
        </is>
      </c>
      <c r="F84" s="661" t="inlineStr">
        <is>
          <t>RECYCLE CB 1.6X1500X800 PANEL</t>
        </is>
      </c>
      <c r="G84" s="662" t="inlineStr">
        <is>
          <t>D</t>
        </is>
      </c>
      <c r="L84" s="663" t="e">
        <v>#REF!</v>
      </c>
    </row>
    <row r="85">
      <c r="B85" s="659" t="n">
        <v>100778</v>
      </c>
      <c r="C85" s="661" t="inlineStr">
        <is>
          <t>2049A</t>
        </is>
      </c>
      <c r="D85" s="661" t="inlineStr">
        <is>
          <t>HIEP THANH</t>
        </is>
      </c>
      <c r="E85" s="661" t="inlineStr">
        <is>
          <t>MISN</t>
        </is>
      </c>
      <c r="F85" s="661" t="inlineStr">
        <is>
          <t>FIBER BOARD 1370X710X1.0MM</t>
        </is>
      </c>
      <c r="G85" s="662" t="inlineStr">
        <is>
          <t>D</t>
        </is>
      </c>
      <c r="L85" s="663" t="e">
        <v>#REF!</v>
      </c>
    </row>
    <row r="86">
      <c r="B86" s="659" t="n">
        <v>100799</v>
      </c>
      <c r="C86" s="661" t="inlineStr">
        <is>
          <t>2139A</t>
        </is>
      </c>
      <c r="D86" s="661" t="inlineStr">
        <is>
          <t>MINGLU</t>
        </is>
      </c>
      <c r="E86" s="661" t="inlineStr">
        <is>
          <t>UESH</t>
        </is>
      </c>
      <c r="F86" s="661" t="inlineStr">
        <is>
          <t>SEATHAIR 53.5INCH 270G WHITE</t>
        </is>
      </c>
      <c r="G86" s="662" t="inlineStr">
        <is>
          <t>I</t>
        </is>
      </c>
      <c r="L86" s="663" t="e">
        <v>#REF!</v>
      </c>
    </row>
    <row r="87">
      <c r="B87" s="659" t="n">
        <v>100802</v>
      </c>
      <c r="C87" s="661" t="inlineStr">
        <is>
          <t>2139A</t>
        </is>
      </c>
      <c r="D87" s="661" t="inlineStr">
        <is>
          <t>MINGLU</t>
        </is>
      </c>
      <c r="E87" s="661" t="inlineStr">
        <is>
          <t>MISN</t>
        </is>
      </c>
      <c r="F87" s="661" t="inlineStr">
        <is>
          <t>U-TYPAR 26 INX4.5OZ/SQRD</t>
        </is>
      </c>
      <c r="G87" s="662" t="inlineStr">
        <is>
          <t>I</t>
        </is>
      </c>
      <c r="H87" s="664" t="n">
        <v>1010</v>
      </c>
      <c r="I87" s="665" t="n">
        <v>0.3205</v>
      </c>
      <c r="J87" s="666" t="inlineStr">
        <is>
          <t>M</t>
        </is>
      </c>
      <c r="L87" s="663" t="e">
        <v>#REF!</v>
      </c>
    </row>
    <row r="88">
      <c r="B88" s="667" t="n">
        <v>100823</v>
      </c>
      <c r="C88" s="668" t="inlineStr">
        <is>
          <t>3A</t>
        </is>
      </c>
      <c r="D88" s="668" t="inlineStr">
        <is>
          <t>Wanvog</t>
        </is>
      </c>
      <c r="E88" s="668" t="inlineStr">
        <is>
          <t>RFG</t>
        </is>
      </c>
      <c r="F88" s="668" t="inlineStr">
        <is>
          <t>FRINGE-SPRUCE GOOSE 57300</t>
        </is>
      </c>
      <c r="G88" s="669" t="inlineStr">
        <is>
          <t>I</t>
        </is>
      </c>
      <c r="H88" s="664" t="n">
        <v>1038</v>
      </c>
      <c r="I88" s="665" t="n">
        <v>0.4478</v>
      </c>
      <c r="J88" s="666" t="inlineStr">
        <is>
          <t>M</t>
        </is>
      </c>
      <c r="L88" s="663" t="e">
        <v>#REF!</v>
      </c>
    </row>
    <row r="89">
      <c r="B89" s="667" t="n">
        <v>100824</v>
      </c>
      <c r="C89" s="668" t="inlineStr">
        <is>
          <t>3A</t>
        </is>
      </c>
      <c r="D89" s="668" t="inlineStr">
        <is>
          <t>Wanvog</t>
        </is>
      </c>
      <c r="E89" s="668" t="inlineStr">
        <is>
          <t>RFG</t>
        </is>
      </c>
      <c r="F89" s="668" t="inlineStr">
        <is>
          <t>GIMP-WREN 57300</t>
        </is>
      </c>
      <c r="G89" s="669" t="inlineStr">
        <is>
          <t>I</t>
        </is>
      </c>
      <c r="H89" s="664" t="n">
        <v>1038</v>
      </c>
      <c r="I89" s="665" t="n">
        <v>0.1028</v>
      </c>
      <c r="J89" s="666" t="inlineStr">
        <is>
          <t>M</t>
        </is>
      </c>
      <c r="L89" s="663" t="e">
        <v>#REF!</v>
      </c>
    </row>
    <row r="90">
      <c r="B90" s="659" t="n">
        <v>100825</v>
      </c>
      <c r="C90" s="661" t="inlineStr">
        <is>
          <t>3A</t>
        </is>
      </c>
      <c r="D90" s="661" t="inlineStr">
        <is>
          <t>Wanvog</t>
        </is>
      </c>
      <c r="E90" s="661" t="inlineStr">
        <is>
          <t>RFG</t>
        </is>
      </c>
      <c r="F90" s="661" t="inlineStr">
        <is>
          <t>FRINGE-SPICEY 68500</t>
        </is>
      </c>
      <c r="G90" s="662" t="inlineStr">
        <is>
          <t>I</t>
        </is>
      </c>
      <c r="H90" s="664" t="n">
        <v>1038</v>
      </c>
      <c r="I90" s="665" t="n">
        <v>0.4845</v>
      </c>
      <c r="J90" s="666" t="inlineStr">
        <is>
          <t>M</t>
        </is>
      </c>
      <c r="L90" s="663" t="e">
        <v>#REF!</v>
      </c>
    </row>
    <row r="91">
      <c r="B91" s="659" t="n">
        <v>110118</v>
      </c>
      <c r="C91" s="661" t="inlineStr">
        <is>
          <t>1160A</t>
        </is>
      </c>
      <c r="D91" s="661" t="inlineStr">
        <is>
          <t>QIDA</t>
        </is>
      </c>
      <c r="E91" s="661" t="inlineStr">
        <is>
          <t>RFR</t>
        </is>
      </c>
      <c r="F91" s="661" t="inlineStr">
        <is>
          <t>F SLIPCOVERSAGE 149/36103</t>
        </is>
      </c>
      <c r="G91" s="662" t="inlineStr">
        <is>
          <t>I</t>
        </is>
      </c>
      <c r="L91" s="663" t="e">
        <v>#REF!</v>
      </c>
    </row>
    <row r="92">
      <c r="B92" s="659" t="n">
        <v>110126</v>
      </c>
      <c r="C92" s="661" t="inlineStr">
        <is>
          <t>2108A</t>
        </is>
      </c>
      <c r="D92" s="661" t="inlineStr">
        <is>
          <t>Qing Feng</t>
        </is>
      </c>
      <c r="E92" s="661" t="inlineStr">
        <is>
          <t>RFRP</t>
        </is>
      </c>
      <c r="F92" s="661" t="inlineStr">
        <is>
          <t>F WEDGEMULTI 32400</t>
        </is>
      </c>
      <c r="G92" s="662" t="inlineStr">
        <is>
          <t>I</t>
        </is>
      </c>
      <c r="L92" s="663" t="e">
        <v>#REF!</v>
      </c>
    </row>
    <row r="93">
      <c r="B93" s="659" t="n">
        <v>110175</v>
      </c>
      <c r="C93" s="661" t="inlineStr">
        <is>
          <t>2118A</t>
        </is>
      </c>
      <c r="D93" s="661" t="inlineStr">
        <is>
          <t>LONGXIANG</t>
        </is>
      </c>
      <c r="E93" s="661" t="inlineStr">
        <is>
          <t>RFR</t>
        </is>
      </c>
      <c r="F93" s="661" t="inlineStr">
        <is>
          <t>F AVIATORWALNUT 11143/53900</t>
        </is>
      </c>
      <c r="G93" s="662" t="inlineStr">
        <is>
          <t>I</t>
        </is>
      </c>
      <c r="L93" s="663" t="e">
        <v>#REF!</v>
      </c>
    </row>
    <row r="94">
      <c r="B94" s="659" t="n">
        <v>110214</v>
      </c>
      <c r="C94" s="661" t="inlineStr">
        <is>
          <t>3A</t>
        </is>
      </c>
      <c r="D94" s="661" t="inlineStr">
        <is>
          <t>Wanvog</t>
        </is>
      </c>
      <c r="E94" s="661" t="inlineStr">
        <is>
          <t>RFR</t>
        </is>
      </c>
      <c r="F94" s="661" t="inlineStr">
        <is>
          <t>F NAVIGATORSADDLE 104/10923</t>
        </is>
      </c>
      <c r="G94" s="662" t="inlineStr">
        <is>
          <t>I</t>
        </is>
      </c>
      <c r="L94" s="663" t="e">
        <v>#REF!</v>
      </c>
    </row>
    <row r="95">
      <c r="B95" s="659" t="n">
        <v>110219</v>
      </c>
      <c r="C95" s="661" t="inlineStr">
        <is>
          <t>1160A</t>
        </is>
      </c>
      <c r="D95" s="661" t="inlineStr">
        <is>
          <t>QIDA</t>
        </is>
      </c>
      <c r="E95" s="661" t="inlineStr">
        <is>
          <t>RFR</t>
        </is>
      </c>
      <c r="F95" s="661" t="inlineStr">
        <is>
          <t>F DURAPELLARED 10009/638/36101</t>
        </is>
      </c>
      <c r="G95" s="662" t="inlineStr">
        <is>
          <t>I</t>
        </is>
      </c>
      <c r="L95" s="663" t="e">
        <v>#REF!</v>
      </c>
    </row>
    <row r="96">
      <c r="B96" s="659" t="n">
        <v>110220</v>
      </c>
      <c r="C96" s="661" t="inlineStr">
        <is>
          <t>1160A</t>
        </is>
      </c>
      <c r="D96" s="661" t="inlineStr">
        <is>
          <t>QIDA</t>
        </is>
      </c>
      <c r="E96" s="661" t="inlineStr">
        <is>
          <t>RFR</t>
        </is>
      </c>
      <c r="F96" s="661" t="inlineStr">
        <is>
          <t>F DURAPELLABLACK 101/18500</t>
        </is>
      </c>
      <c r="G96" s="662" t="inlineStr">
        <is>
          <t>I</t>
        </is>
      </c>
      <c r="L96" s="663" t="e">
        <v>#REF!</v>
      </c>
    </row>
    <row r="97">
      <c r="B97" s="659" t="n">
        <v>110221</v>
      </c>
      <c r="C97" s="661" t="inlineStr">
        <is>
          <t>1160A</t>
        </is>
      </c>
      <c r="D97" s="661" t="inlineStr">
        <is>
          <t>QIDA</t>
        </is>
      </c>
      <c r="E97" s="661" t="inlineStr">
        <is>
          <t>RFR</t>
        </is>
      </c>
      <c r="F97" s="661" t="inlineStr">
        <is>
          <t>F DURAPELLACOCOA 10253/18553</t>
        </is>
      </c>
      <c r="G97" s="662" t="inlineStr">
        <is>
          <t>I</t>
        </is>
      </c>
      <c r="L97" s="663" t="e">
        <v>#REF!</v>
      </c>
    </row>
    <row r="98">
      <c r="B98" s="659" t="n">
        <v>110224</v>
      </c>
      <c r="C98" s="661" t="inlineStr">
        <is>
          <t>1160A</t>
        </is>
      </c>
      <c r="D98" s="661" t="inlineStr">
        <is>
          <t>QIDA</t>
        </is>
      </c>
      <c r="E98" s="661" t="inlineStr">
        <is>
          <t>RFR</t>
        </is>
      </c>
      <c r="F98" s="661" t="inlineStr">
        <is>
          <t>F DURAPELLACAFE 120/18563</t>
        </is>
      </c>
      <c r="G98" s="662" t="inlineStr">
        <is>
          <t>I</t>
        </is>
      </c>
      <c r="H98" s="664" t="n">
        <v>1002</v>
      </c>
      <c r="I98" s="665" t="n">
        <v>1.98</v>
      </c>
      <c r="L98" s="663" t="e">
        <v>#REF!</v>
      </c>
    </row>
    <row r="99">
      <c r="B99" s="659" t="n">
        <v>110225</v>
      </c>
      <c r="C99" s="661" t="inlineStr">
        <is>
          <t>3A</t>
        </is>
      </c>
      <c r="D99" s="661" t="inlineStr">
        <is>
          <t>Wanvog</t>
        </is>
      </c>
      <c r="E99" s="661" t="inlineStr">
        <is>
          <t>RFR</t>
        </is>
      </c>
      <c r="F99" s="661" t="inlineStr">
        <is>
          <t>F GUNSMOKEMOCHA 134/13803</t>
        </is>
      </c>
      <c r="G99" s="662" t="inlineStr">
        <is>
          <t>I</t>
        </is>
      </c>
      <c r="L99" s="663" t="e">
        <v>#REF!</v>
      </c>
    </row>
    <row r="100">
      <c r="B100" s="659" t="n">
        <v>110226</v>
      </c>
      <c r="C100" s="661" t="inlineStr">
        <is>
          <t>3A</t>
        </is>
      </c>
      <c r="D100" s="661" t="inlineStr">
        <is>
          <t>Wanvog</t>
        </is>
      </c>
      <c r="E100" s="661" t="inlineStr">
        <is>
          <t>RFR</t>
        </is>
      </c>
      <c r="F100" s="661" t="inlineStr">
        <is>
          <t>F GUNSMOKECHOCOLATE13863/13902</t>
        </is>
      </c>
      <c r="G100" s="662" t="inlineStr">
        <is>
          <t>I</t>
        </is>
      </c>
      <c r="L100" s="663" t="e">
        <v>#REF!</v>
      </c>
    </row>
    <row r="101">
      <c r="B101" s="659" t="n">
        <v>110384</v>
      </c>
      <c r="C101" s="661" t="inlineStr">
        <is>
          <t>2118A</t>
        </is>
      </c>
      <c r="D101" s="661" t="inlineStr">
        <is>
          <t>LONGXIANG</t>
        </is>
      </c>
      <c r="E101" s="661" t="inlineStr">
        <is>
          <t>RFR</t>
        </is>
      </c>
      <c r="F101" s="661" t="inlineStr">
        <is>
          <t>F BUCKINGHAMMOCHA145/163/18703</t>
        </is>
      </c>
      <c r="G101" s="662" t="inlineStr">
        <is>
          <t>I</t>
        </is>
      </c>
      <c r="L101" s="663" t="e">
        <v>#REF!</v>
      </c>
    </row>
    <row r="102">
      <c r="B102" s="659" t="n">
        <v>110385</v>
      </c>
      <c r="C102" s="661" t="inlineStr">
        <is>
          <t>2118A</t>
        </is>
      </c>
      <c r="D102" s="661" t="inlineStr">
        <is>
          <t>LONGXIANG</t>
        </is>
      </c>
      <c r="E102" s="661" t="inlineStr">
        <is>
          <t>RFR</t>
        </is>
      </c>
      <c r="F102" s="661" t="inlineStr">
        <is>
          <t>F BUCKINGHAMBORDEAUX 336/70309</t>
        </is>
      </c>
      <c r="G102" s="662" t="inlineStr">
        <is>
          <t>I</t>
        </is>
      </c>
      <c r="L102" s="663" t="e">
        <v>#REF!</v>
      </c>
    </row>
    <row r="103">
      <c r="B103" s="659" t="n">
        <v>110386</v>
      </c>
      <c r="C103" s="661" t="inlineStr">
        <is>
          <t>2118A</t>
        </is>
      </c>
      <c r="D103" s="661" t="inlineStr">
        <is>
          <t>LONGXIANG</t>
        </is>
      </c>
      <c r="E103" s="661" t="inlineStr">
        <is>
          <t>RFR</t>
        </is>
      </c>
      <c r="F103" s="661" t="inlineStr">
        <is>
          <t>F BUCKINGHAMWALNUT 107/163/703</t>
        </is>
      </c>
      <c r="G103" s="662" t="inlineStr">
        <is>
          <t>I</t>
        </is>
      </c>
      <c r="L103" s="663" t="e">
        <v>#REF!</v>
      </c>
    </row>
    <row r="104">
      <c r="B104" s="659" t="n">
        <v>110398</v>
      </c>
      <c r="C104" s="661" t="inlineStr">
        <is>
          <t>2140A</t>
        </is>
      </c>
      <c r="D104" s="661" t="inlineStr">
        <is>
          <t>Kentex</t>
        </is>
      </c>
      <c r="E104" s="661" t="inlineStr">
        <is>
          <t>RFR</t>
        </is>
      </c>
      <c r="F104" s="661" t="inlineStr">
        <is>
          <t>F SERRAAMBER 19000</t>
        </is>
      </c>
      <c r="G104" s="662" t="inlineStr">
        <is>
          <t>I</t>
        </is>
      </c>
      <c r="L104" s="663" t="e">
        <v>#REF!</v>
      </c>
    </row>
    <row r="105">
      <c r="B105" s="659" t="n">
        <v>110433</v>
      </c>
      <c r="C105" s="661" t="inlineStr">
        <is>
          <t>2118A</t>
        </is>
      </c>
      <c r="D105" s="661" t="inlineStr">
        <is>
          <t>LONGXIANG</t>
        </is>
      </c>
      <c r="E105" s="661" t="inlineStr">
        <is>
          <t>RFR</t>
        </is>
      </c>
      <c r="F105" s="661" t="inlineStr">
        <is>
          <t>F YUKON(FREE RIDE)STONE 62801</t>
        </is>
      </c>
      <c r="G105" s="662" t="inlineStr">
        <is>
          <t>I</t>
        </is>
      </c>
      <c r="L105" s="663" t="e">
        <v>#REF!</v>
      </c>
    </row>
    <row r="106">
      <c r="B106" s="659" t="n">
        <v>110434</v>
      </c>
      <c r="C106" s="661" t="inlineStr">
        <is>
          <t>2118A</t>
        </is>
      </c>
      <c r="D106" s="661" t="inlineStr">
        <is>
          <t>LONGXIANG</t>
        </is>
      </c>
      <c r="E106" s="661" t="inlineStr">
        <is>
          <t>RFR</t>
        </is>
      </c>
      <c r="F106" s="661" t="inlineStr">
        <is>
          <t>F TUNDRABURGUNDY 63300</t>
        </is>
      </c>
      <c r="G106" s="662" t="inlineStr">
        <is>
          <t>I</t>
        </is>
      </c>
      <c r="L106" s="663" t="e">
        <v>#REF!</v>
      </c>
    </row>
    <row r="107">
      <c r="B107" s="659" t="n">
        <v>110528</v>
      </c>
      <c r="C107" s="661" t="inlineStr">
        <is>
          <t>3A</t>
        </is>
      </c>
      <c r="D107" s="661" t="inlineStr">
        <is>
          <t>Wanvog</t>
        </is>
      </c>
      <c r="E107" s="661" t="inlineStr">
        <is>
          <t>RFRP</t>
        </is>
      </c>
      <c r="F107" s="661" t="inlineStr">
        <is>
          <t>F TETRAMAZEMINK 66901/69601</t>
        </is>
      </c>
      <c r="G107" s="662" t="inlineStr">
        <is>
          <t>I</t>
        </is>
      </c>
      <c r="H107" s="664" t="n">
        <v>1002</v>
      </c>
      <c r="I107" s="665" t="n">
        <v>4.72</v>
      </c>
      <c r="L107" s="663" t="e">
        <v>#REF!</v>
      </c>
    </row>
    <row r="108">
      <c r="B108" s="659" t="n">
        <v>110576</v>
      </c>
      <c r="C108" s="661" t="inlineStr">
        <is>
          <t>2102A</t>
        </is>
      </c>
      <c r="D108" s="661" t="inlineStr">
        <is>
          <t>Richloom S</t>
        </is>
      </c>
      <c r="E108" s="661" t="inlineStr">
        <is>
          <t>RFRP</t>
        </is>
      </c>
      <c r="F108" s="661" t="inlineStr">
        <is>
          <t>F ANCHORAGESPICE 51301</t>
        </is>
      </c>
      <c r="G108" s="662" t="inlineStr">
        <is>
          <t>I</t>
        </is>
      </c>
      <c r="L108" s="663" t="e">
        <v>#REF!</v>
      </c>
    </row>
    <row r="109">
      <c r="B109" s="659" t="n">
        <v>110583</v>
      </c>
      <c r="C109" s="661" t="inlineStr">
        <is>
          <t>2118A</t>
        </is>
      </c>
      <c r="D109" s="661" t="inlineStr">
        <is>
          <t>LONGXIANG</t>
        </is>
      </c>
      <c r="E109" s="661" t="inlineStr">
        <is>
          <t>RFR</t>
        </is>
      </c>
      <c r="F109" s="661" t="inlineStr">
        <is>
          <t>F MACIE(FREERIDE)BROWN 54601</t>
        </is>
      </c>
      <c r="G109" s="662" t="inlineStr">
        <is>
          <t>I</t>
        </is>
      </c>
      <c r="H109" s="664" t="n">
        <v>1002</v>
      </c>
      <c r="I109" s="665" t="n">
        <v>3.03</v>
      </c>
      <c r="L109" s="663" t="e">
        <v>#REF!</v>
      </c>
    </row>
    <row r="110">
      <c r="B110" s="659" t="n">
        <v>110584</v>
      </c>
      <c r="C110" s="661" t="inlineStr">
        <is>
          <t>3A</t>
        </is>
      </c>
      <c r="D110" s="661" t="inlineStr">
        <is>
          <t>Wanvog</t>
        </is>
      </c>
      <c r="E110" s="661" t="inlineStr">
        <is>
          <t>RFRP</t>
        </is>
      </c>
      <c r="F110" s="661" t="inlineStr">
        <is>
          <t>F BIGWIGCHESTNUT 54601</t>
        </is>
      </c>
      <c r="G110" s="662" t="inlineStr">
        <is>
          <t>I</t>
        </is>
      </c>
      <c r="H110" s="664" t="n">
        <v>1034</v>
      </c>
      <c r="I110" s="665" t="n">
        <v>6.6</v>
      </c>
      <c r="L110" s="663" t="e">
        <v>#REF!</v>
      </c>
    </row>
    <row r="111">
      <c r="B111" s="659" t="n">
        <v>110594</v>
      </c>
      <c r="C111" s="661" t="inlineStr">
        <is>
          <t>2103A</t>
        </is>
      </c>
      <c r="D111" s="661" t="inlineStr">
        <is>
          <t>HEXIN</t>
        </is>
      </c>
      <c r="E111" s="661" t="inlineStr">
        <is>
          <t>RFRU</t>
        </is>
      </c>
      <c r="F111" s="661" t="inlineStr">
        <is>
          <t>F SANMARCOBARK60603</t>
        </is>
      </c>
      <c r="G111" s="662" t="inlineStr">
        <is>
          <t>I</t>
        </is>
      </c>
      <c r="L111" s="663" t="e">
        <v>#REF!</v>
      </c>
    </row>
    <row r="112">
      <c r="B112" s="659" t="n">
        <v>110595</v>
      </c>
      <c r="C112" s="661" t="inlineStr">
        <is>
          <t>2103A</t>
        </is>
      </c>
      <c r="D112" s="661" t="inlineStr">
        <is>
          <t>HEXIN</t>
        </is>
      </c>
      <c r="E112" s="661" t="inlineStr">
        <is>
          <t>RFRU</t>
        </is>
      </c>
      <c r="F112" s="661" t="inlineStr">
        <is>
          <t>F SANMARCOCHOCOLATE125/58363</t>
        </is>
      </c>
      <c r="G112" s="662" t="inlineStr">
        <is>
          <t>I</t>
        </is>
      </c>
      <c r="L112" s="663" t="e">
        <v>#REF!</v>
      </c>
    </row>
    <row r="113">
      <c r="B113" s="659" t="n">
        <v>110597</v>
      </c>
      <c r="C113" s="661" t="inlineStr">
        <is>
          <t>2102A</t>
        </is>
      </c>
      <c r="D113" s="661" t="inlineStr">
        <is>
          <t>Richloom S</t>
        </is>
      </c>
      <c r="E113" s="661" t="inlineStr">
        <is>
          <t>RFRP</t>
        </is>
      </c>
      <c r="F113" s="661" t="inlineStr">
        <is>
          <t>F ASCOTMARBLE52902/638</t>
        </is>
      </c>
      <c r="G113" s="662" t="inlineStr">
        <is>
          <t>I</t>
        </is>
      </c>
      <c r="L113" s="663" t="e">
        <v>#REF!</v>
      </c>
    </row>
    <row r="114">
      <c r="B114" s="659" t="n">
        <v>110647</v>
      </c>
      <c r="C114" s="661" t="inlineStr">
        <is>
          <t>2103A</t>
        </is>
      </c>
      <c r="D114" s="661" t="inlineStr">
        <is>
          <t>HEXIN</t>
        </is>
      </c>
      <c r="E114" s="661" t="inlineStr">
        <is>
          <t>RFRU</t>
        </is>
      </c>
      <c r="F114" s="661" t="inlineStr">
        <is>
          <t>F VINYLBARK 91700/94202</t>
        </is>
      </c>
      <c r="G114" s="662" t="inlineStr">
        <is>
          <t>I</t>
        </is>
      </c>
      <c r="H114" s="664" t="n">
        <v>1035</v>
      </c>
      <c r="I114" s="665" t="n">
        <v>3.4</v>
      </c>
      <c r="L114" s="663" t="e">
        <v>#REF!</v>
      </c>
    </row>
    <row r="115">
      <c r="B115" s="659" t="n">
        <v>110649</v>
      </c>
      <c r="C115" s="661" t="inlineStr">
        <is>
          <t>3A</t>
        </is>
      </c>
      <c r="D115" s="661" t="inlineStr">
        <is>
          <t>Wanvog</t>
        </is>
      </c>
      <c r="E115" s="661" t="inlineStr">
        <is>
          <t>RFRP</t>
        </is>
      </c>
      <c r="F115" s="661" t="inlineStr">
        <is>
          <t>F YARDLEYPOMODORO 89001</t>
        </is>
      </c>
      <c r="G115" s="662" t="inlineStr">
        <is>
          <t>I</t>
        </is>
      </c>
      <c r="L115" s="663" t="e">
        <v>#REF!</v>
      </c>
    </row>
    <row r="116">
      <c r="B116" s="659" t="n">
        <v>110683</v>
      </c>
      <c r="C116" s="661" t="inlineStr">
        <is>
          <t>3A</t>
        </is>
      </c>
      <c r="D116" s="661" t="inlineStr">
        <is>
          <t>Wanvog</t>
        </is>
      </c>
      <c r="E116" s="661" t="inlineStr">
        <is>
          <t>RFR</t>
        </is>
      </c>
      <c r="F116" s="661" t="inlineStr">
        <is>
          <t>F REVOLUTIONDUSK 35401</t>
        </is>
      </c>
      <c r="G116" s="662" t="inlineStr">
        <is>
          <t>I</t>
        </is>
      </c>
      <c r="H116" s="664" t="n">
        <v>1053</v>
      </c>
      <c r="I116" s="665" t="n">
        <v>4.85</v>
      </c>
      <c r="L116" s="663" t="e">
        <v>#REF!</v>
      </c>
    </row>
    <row r="117">
      <c r="B117" s="659" t="n">
        <v>110693</v>
      </c>
      <c r="C117" s="661" t="inlineStr">
        <is>
          <t>1160A</t>
        </is>
      </c>
      <c r="D117" s="661" t="inlineStr">
        <is>
          <t>QIDA</t>
        </is>
      </c>
      <c r="E117" s="661" t="inlineStr">
        <is>
          <t>RFR</t>
        </is>
      </c>
      <c r="F117" s="661" t="inlineStr">
        <is>
          <t>F DURAPELLAOYSTER36100</t>
        </is>
      </c>
      <c r="G117" s="662" t="inlineStr">
        <is>
          <t>I</t>
        </is>
      </c>
      <c r="L117" s="663" t="e">
        <v>#REF!</v>
      </c>
    </row>
    <row r="118">
      <c r="B118" s="659" t="n">
        <v>110696</v>
      </c>
      <c r="C118" s="661" t="inlineStr">
        <is>
          <t>3A</t>
        </is>
      </c>
      <c r="D118" s="661" t="inlineStr">
        <is>
          <t>Wanvog</t>
        </is>
      </c>
      <c r="E118" s="661" t="inlineStr">
        <is>
          <t>RFRP</t>
        </is>
      </c>
      <c r="F118" s="661" t="inlineStr">
        <is>
          <t>F RUMBAAUBURN64400/64402</t>
        </is>
      </c>
      <c r="G118" s="662" t="inlineStr">
        <is>
          <t>I</t>
        </is>
      </c>
      <c r="L118" s="663" t="e">
        <v>#REF!</v>
      </c>
    </row>
    <row r="119">
      <c r="B119" s="659" t="n">
        <v>110706</v>
      </c>
      <c r="C119" s="661" t="inlineStr">
        <is>
          <t>1160A</t>
        </is>
      </c>
      <c r="D119" s="661" t="inlineStr">
        <is>
          <t>QIDA</t>
        </is>
      </c>
      <c r="E119" s="661" t="inlineStr">
        <is>
          <t>RFR</t>
        </is>
      </c>
      <c r="F119" s="661" t="inlineStr">
        <is>
          <t>F DURAPELLASAGE 62402/36103</t>
        </is>
      </c>
      <c r="G119" s="662" t="inlineStr">
        <is>
          <t>I</t>
        </is>
      </c>
      <c r="L119" s="663" t="e">
        <v>#REF!</v>
      </c>
    </row>
    <row r="120">
      <c r="B120" s="659" t="n">
        <v>110725</v>
      </c>
      <c r="C120" s="661" t="inlineStr">
        <is>
          <t>3A</t>
        </is>
      </c>
      <c r="D120" s="661" t="inlineStr">
        <is>
          <t>Wanvog</t>
        </is>
      </c>
      <c r="E120" s="661" t="inlineStr">
        <is>
          <t>RFRP</t>
        </is>
      </c>
      <c r="F120" s="661" t="inlineStr">
        <is>
          <t>F NICOEARTH80601</t>
        </is>
      </c>
      <c r="G120" s="662" t="inlineStr">
        <is>
          <t>I</t>
        </is>
      </c>
      <c r="L120" s="663" t="e">
        <v>#REF!</v>
      </c>
    </row>
    <row r="121">
      <c r="B121" s="659" t="n">
        <v>110734</v>
      </c>
      <c r="C121" s="661" t="inlineStr">
        <is>
          <t>2108A</t>
        </is>
      </c>
      <c r="D121" s="661" t="inlineStr">
        <is>
          <t>Qing Feng</t>
        </is>
      </c>
      <c r="E121" s="661" t="inlineStr">
        <is>
          <t>RFR</t>
        </is>
      </c>
      <c r="F121" s="661" t="inlineStr">
        <is>
          <t>F CRAWFORDESSEXCHOCOLATE58001</t>
        </is>
      </c>
      <c r="G121" s="662" t="inlineStr">
        <is>
          <t>I</t>
        </is>
      </c>
      <c r="H121" s="664" t="n">
        <v>1002</v>
      </c>
      <c r="I121" s="665" t="n">
        <v>3.92</v>
      </c>
      <c r="L121" s="663" t="e">
        <v>#REF!</v>
      </c>
    </row>
    <row r="122">
      <c r="B122" s="659" t="n">
        <v>110735</v>
      </c>
      <c r="C122" s="661" t="inlineStr">
        <is>
          <t>2110A</t>
        </is>
      </c>
      <c r="D122" s="661" t="inlineStr">
        <is>
          <t>NICELINK</t>
        </is>
      </c>
      <c r="E122" s="661" t="inlineStr">
        <is>
          <t>RFR</t>
        </is>
      </c>
      <c r="F122" s="661" t="inlineStr">
        <is>
          <t>F MARRAKECHROBINEGG58001</t>
        </is>
      </c>
      <c r="G122" s="662" t="inlineStr">
        <is>
          <t>I</t>
        </is>
      </c>
      <c r="L122" s="663" t="e">
        <v>#REF!</v>
      </c>
    </row>
    <row r="123">
      <c r="B123" s="659" t="n">
        <v>110736</v>
      </c>
      <c r="C123" s="661" t="inlineStr">
        <is>
          <t>2109A</t>
        </is>
      </c>
      <c r="D123" s="661" t="inlineStr">
        <is>
          <t>ZhongWang</t>
        </is>
      </c>
      <c r="E123" s="661" t="inlineStr">
        <is>
          <t>RFRP</t>
        </is>
      </c>
      <c r="F123" s="661" t="inlineStr">
        <is>
          <t>F NILE(M8342)MISTNILE)58001</t>
        </is>
      </c>
      <c r="G123" s="662" t="inlineStr">
        <is>
          <t>I</t>
        </is>
      </c>
      <c r="L123" s="663" t="e">
        <v>#REF!</v>
      </c>
    </row>
    <row r="124">
      <c r="B124" s="659" t="n">
        <v>110741</v>
      </c>
      <c r="C124" s="661" t="inlineStr">
        <is>
          <t>2118A</t>
        </is>
      </c>
      <c r="D124" s="661" t="inlineStr">
        <is>
          <t>LONGXIANG</t>
        </is>
      </c>
      <c r="E124" s="661" t="inlineStr">
        <is>
          <t>RFRU</t>
        </is>
      </c>
      <c r="F124" s="661" t="inlineStr">
        <is>
          <t>F SANLUCASHARNESS 84603</t>
        </is>
      </c>
      <c r="G124" s="662" t="inlineStr">
        <is>
          <t>I</t>
        </is>
      </c>
      <c r="H124" s="664" t="n">
        <v>1035</v>
      </c>
      <c r="I124" s="665" t="n">
        <v>4.06</v>
      </c>
      <c r="L124" s="663" t="e">
        <v>#REF!</v>
      </c>
    </row>
    <row r="125">
      <c r="B125" s="659" t="n">
        <v>110743</v>
      </c>
      <c r="C125" s="661" t="inlineStr">
        <is>
          <t>2108A</t>
        </is>
      </c>
      <c r="D125" s="661" t="inlineStr">
        <is>
          <t>Qing Feng</t>
        </is>
      </c>
      <c r="E125" s="661" t="inlineStr">
        <is>
          <t>RFR</t>
        </is>
      </c>
      <c r="F125" s="661" t="inlineStr">
        <is>
          <t>F BARTLETTCARAMEL 81201</t>
        </is>
      </c>
      <c r="G125" s="662" t="inlineStr">
        <is>
          <t>I</t>
        </is>
      </c>
      <c r="H125" s="664" t="n">
        <v>1002</v>
      </c>
      <c r="I125" s="665" t="n">
        <v>4.08</v>
      </c>
      <c r="L125" s="663" t="e">
        <v>#REF!</v>
      </c>
    </row>
    <row r="126">
      <c r="B126" s="659" t="n">
        <v>110744</v>
      </c>
      <c r="C126" s="661" t="inlineStr">
        <is>
          <t>2110A</t>
        </is>
      </c>
      <c r="D126" s="661" t="inlineStr">
        <is>
          <t>NICELINK</t>
        </is>
      </c>
      <c r="E126" s="661" t="inlineStr">
        <is>
          <t>RFRP</t>
        </is>
      </c>
      <c r="F126" s="661" t="inlineStr">
        <is>
          <t>F DOMINOESSPICE 81201</t>
        </is>
      </c>
      <c r="G126" s="662" t="inlineStr">
        <is>
          <t>I</t>
        </is>
      </c>
      <c r="L126" s="663" t="e">
        <v>#REF!</v>
      </c>
    </row>
    <row r="127">
      <c r="B127" s="659" t="n">
        <v>110767</v>
      </c>
      <c r="C127" s="661" t="inlineStr">
        <is>
          <t>2109A</t>
        </is>
      </c>
      <c r="D127" s="661" t="inlineStr">
        <is>
          <t>ZhongWang</t>
        </is>
      </c>
      <c r="E127" s="661" t="inlineStr">
        <is>
          <t>RFR</t>
        </is>
      </c>
      <c r="F127" s="661" t="inlineStr">
        <is>
          <t>F RICHLANDAMBER(2) 12600</t>
        </is>
      </c>
      <c r="G127" s="662" t="inlineStr">
        <is>
          <t>I</t>
        </is>
      </c>
      <c r="H127" s="664" t="n">
        <v>1002</v>
      </c>
      <c r="I127" s="665" t="n">
        <v>3.56</v>
      </c>
      <c r="L127" s="663" t="e">
        <v>#REF!</v>
      </c>
    </row>
    <row r="128">
      <c r="B128" s="659" t="n">
        <v>110768</v>
      </c>
      <c r="C128" s="661" t="inlineStr">
        <is>
          <t>3A</t>
        </is>
      </c>
      <c r="D128" s="661" t="inlineStr">
        <is>
          <t>Wanvog</t>
        </is>
      </c>
      <c r="E128" s="661" t="inlineStr">
        <is>
          <t>RFRP</t>
        </is>
      </c>
      <c r="F128" s="661" t="inlineStr">
        <is>
          <t>F FIORIAMBER 12600</t>
        </is>
      </c>
      <c r="G128" s="662" t="inlineStr">
        <is>
          <t>I</t>
        </is>
      </c>
      <c r="H128" s="664" t="n">
        <v>1051</v>
      </c>
      <c r="I128" s="665" t="n">
        <v>8.76</v>
      </c>
      <c r="L128" s="663" t="e">
        <v>#REF!</v>
      </c>
    </row>
    <row r="129">
      <c r="B129" s="659" t="n">
        <v>110770</v>
      </c>
      <c r="C129" s="661" t="inlineStr">
        <is>
          <t>2110A</t>
        </is>
      </c>
      <c r="D129" s="661" t="inlineStr">
        <is>
          <t>NICELINK</t>
        </is>
      </c>
      <c r="E129" s="661" t="inlineStr">
        <is>
          <t>RFRP</t>
        </is>
      </c>
      <c r="F129" s="661" t="inlineStr">
        <is>
          <t>F LAURENCHOCOLATE 21300/99200</t>
        </is>
      </c>
      <c r="G129" s="662" t="inlineStr">
        <is>
          <t>I</t>
        </is>
      </c>
      <c r="H129" s="664" t="n">
        <v>1053</v>
      </c>
      <c r="I129" s="665" t="n">
        <v>6.16</v>
      </c>
      <c r="L129" s="663" t="e">
        <v>#REF!</v>
      </c>
    </row>
    <row r="130">
      <c r="B130" s="659" t="n">
        <v>110782</v>
      </c>
      <c r="C130" s="661" t="inlineStr">
        <is>
          <t>2140A</t>
        </is>
      </c>
      <c r="D130" s="661" t="inlineStr">
        <is>
          <t>Kentex</t>
        </is>
      </c>
      <c r="E130" s="661" t="inlineStr">
        <is>
          <t>RFR</t>
        </is>
      </c>
      <c r="F130" s="661" t="inlineStr">
        <is>
          <t>F LENAPUTTY 35401</t>
        </is>
      </c>
      <c r="G130" s="662" t="inlineStr">
        <is>
          <t>I</t>
        </is>
      </c>
      <c r="H130" s="664" t="n">
        <v>1002</v>
      </c>
      <c r="I130" s="665" t="n">
        <v>3.45</v>
      </c>
      <c r="L130" s="663" t="e">
        <v>#REF!</v>
      </c>
    </row>
    <row r="131">
      <c r="B131" s="659" t="n">
        <v>110784</v>
      </c>
      <c r="C131" s="661" t="inlineStr">
        <is>
          <t>2118A</t>
        </is>
      </c>
      <c r="D131" s="661" t="inlineStr">
        <is>
          <t>LONGXIANG</t>
        </is>
      </c>
      <c r="E131" s="661" t="inlineStr">
        <is>
          <t>RFR</t>
        </is>
      </c>
      <c r="F131" s="661" t="inlineStr">
        <is>
          <t>F LILLY(711)CARAMEL(4)32602</t>
        </is>
      </c>
      <c r="G131" s="662" t="inlineStr">
        <is>
          <t>I</t>
        </is>
      </c>
      <c r="L131" s="663" t="e">
        <v>#REF!</v>
      </c>
    </row>
    <row r="132">
      <c r="B132" s="659" t="n">
        <v>110785</v>
      </c>
      <c r="C132" s="661" t="inlineStr">
        <is>
          <t>2108A</t>
        </is>
      </c>
      <c r="D132" s="661" t="inlineStr">
        <is>
          <t>Qing Feng</t>
        </is>
      </c>
      <c r="E132" s="661" t="inlineStr">
        <is>
          <t>RFR</t>
        </is>
      </c>
      <c r="F132" s="661" t="inlineStr">
        <is>
          <t>F KEYTOWNTRUFFLE 40100</t>
        </is>
      </c>
      <c r="G132" s="662" t="inlineStr">
        <is>
          <t>I</t>
        </is>
      </c>
      <c r="H132" s="664" t="n">
        <v>1084</v>
      </c>
      <c r="I132" s="665" t="n">
        <v>3.7</v>
      </c>
      <c r="L132" s="663" t="e">
        <v>#REF!</v>
      </c>
    </row>
    <row r="133">
      <c r="B133" s="659" t="n">
        <v>110790</v>
      </c>
      <c r="C133" s="661" t="inlineStr">
        <is>
          <t>2119A</t>
        </is>
      </c>
      <c r="D133" s="661" t="inlineStr">
        <is>
          <t>ZHONGFANG</t>
        </is>
      </c>
      <c r="E133" s="661" t="inlineStr">
        <is>
          <t>RFR</t>
        </is>
      </c>
      <c r="F133" s="661" t="inlineStr">
        <is>
          <t>F STONECUTTERMOCHA61700</t>
        </is>
      </c>
      <c r="G133" s="662" t="inlineStr">
        <is>
          <t>I</t>
        </is>
      </c>
      <c r="H133" s="664" t="n">
        <v>1002</v>
      </c>
      <c r="I133" s="665" t="n">
        <v>2.86</v>
      </c>
      <c r="L133" s="663" t="e">
        <v>#REF!</v>
      </c>
    </row>
    <row r="134">
      <c r="B134" s="659" t="n">
        <v>110795</v>
      </c>
      <c r="C134" s="661" t="inlineStr">
        <is>
          <t>2119A</t>
        </is>
      </c>
      <c r="D134" s="661" t="inlineStr">
        <is>
          <t>ZHONGFANG</t>
        </is>
      </c>
      <c r="E134" s="661" t="inlineStr">
        <is>
          <t>RFR</t>
        </is>
      </c>
      <c r="F134" s="661" t="inlineStr">
        <is>
          <t>F FRONTIERCANYON 776/30900/823</t>
        </is>
      </c>
      <c r="G134" s="662" t="inlineStr">
        <is>
          <t>I</t>
        </is>
      </c>
      <c r="H134" s="664" t="n">
        <v>1002</v>
      </c>
      <c r="I134" s="665" t="n">
        <v>3.84</v>
      </c>
      <c r="L134" s="663" t="e">
        <v>#REF!</v>
      </c>
    </row>
    <row r="135">
      <c r="B135" s="659" t="n">
        <v>110797</v>
      </c>
      <c r="C135" s="661" t="inlineStr">
        <is>
          <t>1160A</t>
        </is>
      </c>
      <c r="D135" s="661" t="inlineStr">
        <is>
          <t>QIDA</t>
        </is>
      </c>
      <c r="E135" s="661" t="inlineStr">
        <is>
          <t>RFR</t>
        </is>
      </c>
      <c r="F135" s="661" t="inlineStr">
        <is>
          <t>F PRESLEYCOCOA75701/80601</t>
        </is>
      </c>
      <c r="G135" s="662" t="inlineStr">
        <is>
          <t>I</t>
        </is>
      </c>
      <c r="H135" s="664" t="n">
        <v>1002</v>
      </c>
      <c r="I135" s="665" t="n">
        <v>2.43</v>
      </c>
      <c r="L135" s="663" t="e">
        <v>#REF!</v>
      </c>
    </row>
    <row r="136">
      <c r="B136" s="659" t="n">
        <v>110798</v>
      </c>
      <c r="C136" s="661" t="inlineStr">
        <is>
          <t>1160A</t>
        </is>
      </c>
      <c r="D136" s="661" t="inlineStr">
        <is>
          <t>QIDA</t>
        </is>
      </c>
      <c r="E136" s="661" t="inlineStr">
        <is>
          <t>RFR</t>
        </is>
      </c>
      <c r="F136" s="661" t="inlineStr">
        <is>
          <t>F PRESLEYSAGE75702/86701</t>
        </is>
      </c>
      <c r="G136" s="662" t="inlineStr">
        <is>
          <t>I</t>
        </is>
      </c>
      <c r="L136" s="663" t="e">
        <v>#REF!</v>
      </c>
    </row>
    <row r="137">
      <c r="B137" s="659" t="n">
        <v>110799</v>
      </c>
      <c r="C137" s="661" t="inlineStr">
        <is>
          <t>1160A</t>
        </is>
      </c>
      <c r="D137" s="661" t="inlineStr">
        <is>
          <t>QIDA</t>
        </is>
      </c>
      <c r="E137" s="661" t="inlineStr">
        <is>
          <t>RFR</t>
        </is>
      </c>
      <c r="F137" s="661" t="inlineStr">
        <is>
          <t>F CAGNEYOLIVE 61501</t>
        </is>
      </c>
      <c r="G137" s="662" t="inlineStr">
        <is>
          <t>I</t>
        </is>
      </c>
      <c r="L137" s="663" t="e">
        <v>#REF!</v>
      </c>
    </row>
    <row r="138">
      <c r="B138" s="659" t="n">
        <v>110800</v>
      </c>
      <c r="C138" s="661" t="inlineStr">
        <is>
          <t>1160A</t>
        </is>
      </c>
      <c r="D138" s="661" t="inlineStr">
        <is>
          <t>QIDA</t>
        </is>
      </c>
      <c r="E138" s="661" t="inlineStr">
        <is>
          <t>RFR</t>
        </is>
      </c>
      <c r="F138" s="661" t="inlineStr">
        <is>
          <t>F DURAPELLAOYSTER36100</t>
        </is>
      </c>
      <c r="G138" s="662" t="inlineStr">
        <is>
          <t>I</t>
        </is>
      </c>
      <c r="L138" s="663" t="e">
        <v>#REF!</v>
      </c>
    </row>
    <row r="139">
      <c r="B139" s="659" t="n">
        <v>110805</v>
      </c>
      <c r="C139" s="661" t="inlineStr">
        <is>
          <t>2118A</t>
        </is>
      </c>
      <c r="D139" s="661" t="inlineStr">
        <is>
          <t>LONGXIANG</t>
        </is>
      </c>
      <c r="E139" s="661" t="inlineStr">
        <is>
          <t>RFR</t>
        </is>
      </c>
      <c r="F139" s="661" t="inlineStr">
        <is>
          <t>F AVALANCHESANDSTONE87700</t>
        </is>
      </c>
      <c r="G139" s="662" t="inlineStr">
        <is>
          <t>I</t>
        </is>
      </c>
      <c r="L139" s="663" t="e">
        <v>#REF!</v>
      </c>
    </row>
    <row r="140">
      <c r="B140" s="659" t="n">
        <v>110806</v>
      </c>
      <c r="C140" s="661" t="inlineStr">
        <is>
          <t>2118A</t>
        </is>
      </c>
      <c r="D140" s="661" t="inlineStr">
        <is>
          <t>LONGXIANG</t>
        </is>
      </c>
      <c r="E140" s="661" t="inlineStr">
        <is>
          <t>RFR</t>
        </is>
      </c>
      <c r="F140" s="661" t="inlineStr">
        <is>
          <t>F CHANDLER(SHAMA)WALNUT51700</t>
        </is>
      </c>
      <c r="G140" s="662" t="inlineStr">
        <is>
          <t>I</t>
        </is>
      </c>
      <c r="L140" s="663" t="e">
        <v>#REF!</v>
      </c>
    </row>
    <row r="141">
      <c r="B141" s="659" t="n">
        <v>110818</v>
      </c>
      <c r="C141" s="661" t="inlineStr">
        <is>
          <t>1160A</t>
        </is>
      </c>
      <c r="D141" s="661" t="inlineStr">
        <is>
          <t>QIDA</t>
        </is>
      </c>
      <c r="E141" s="661" t="inlineStr">
        <is>
          <t>RFR</t>
        </is>
      </c>
      <c r="F141" s="661" t="inlineStr">
        <is>
          <t>F ZIASPA11801/67001</t>
        </is>
      </c>
      <c r="G141" s="662" t="inlineStr">
        <is>
          <t>I</t>
        </is>
      </c>
      <c r="L141" s="663" t="e">
        <v>#REF!</v>
      </c>
    </row>
    <row r="142">
      <c r="B142" s="659" t="n">
        <v>110819</v>
      </c>
      <c r="C142" s="661" t="inlineStr">
        <is>
          <t>2126A</t>
        </is>
      </c>
      <c r="D142" s="661" t="inlineStr">
        <is>
          <t>WANSHIDA</t>
        </is>
      </c>
      <c r="E142" s="661" t="inlineStr">
        <is>
          <t>RFR</t>
        </is>
      </c>
      <c r="F142" s="661" t="inlineStr">
        <is>
          <t>F ZIASTONE11802</t>
        </is>
      </c>
      <c r="G142" s="662" t="inlineStr">
        <is>
          <t>I</t>
        </is>
      </c>
      <c r="H142" s="664" t="n">
        <v>1002</v>
      </c>
      <c r="I142" s="665" t="n">
        <v>1.89</v>
      </c>
      <c r="L142" s="663" t="e">
        <v>#REF!</v>
      </c>
    </row>
    <row r="143">
      <c r="B143" s="659" t="n">
        <v>110820</v>
      </c>
      <c r="C143" s="661" t="inlineStr">
        <is>
          <t>1160A</t>
        </is>
      </c>
      <c r="D143" s="661" t="inlineStr">
        <is>
          <t>QIDA</t>
        </is>
      </c>
      <c r="E143" s="661" t="inlineStr">
        <is>
          <t>RFR</t>
        </is>
      </c>
      <c r="F143" s="661" t="inlineStr">
        <is>
          <t>F ZIAMOCHA11803</t>
        </is>
      </c>
      <c r="G143" s="662" t="inlineStr">
        <is>
          <t>I</t>
        </is>
      </c>
      <c r="H143" s="664" t="n">
        <v>1002</v>
      </c>
      <c r="I143" s="665" t="n">
        <v>1.87</v>
      </c>
      <c r="L143" s="663" t="e">
        <v>#REF!</v>
      </c>
    </row>
    <row r="144">
      <c r="B144" s="659" t="n">
        <v>110821</v>
      </c>
      <c r="C144" s="661" t="inlineStr">
        <is>
          <t>1160A</t>
        </is>
      </c>
      <c r="D144" s="661" t="inlineStr">
        <is>
          <t>QIDA</t>
        </is>
      </c>
      <c r="E144" s="661" t="inlineStr">
        <is>
          <t>RFR</t>
        </is>
      </c>
      <c r="F144" s="661" t="inlineStr">
        <is>
          <t>F ZIASALSA11804</t>
        </is>
      </c>
      <c r="G144" s="662" t="inlineStr">
        <is>
          <t>I</t>
        </is>
      </c>
      <c r="H144" s="664" t="n">
        <v>1002</v>
      </c>
      <c r="I144" s="665" t="n">
        <v>1.91</v>
      </c>
      <c r="L144" s="663" t="e">
        <v>#REF!</v>
      </c>
    </row>
    <row r="145">
      <c r="B145" s="659" t="n">
        <v>110824</v>
      </c>
      <c r="C145" s="661" t="inlineStr">
        <is>
          <t>3A</t>
        </is>
      </c>
      <c r="D145" s="661" t="inlineStr">
        <is>
          <t>Wanvog</t>
        </is>
      </c>
      <c r="E145" s="661" t="inlineStr">
        <is>
          <t>RFR</t>
        </is>
      </c>
      <c r="F145" s="661" t="inlineStr">
        <is>
          <t>F CIRCATAUPE31801</t>
        </is>
      </c>
      <c r="G145" s="662" t="inlineStr">
        <is>
          <t>I</t>
        </is>
      </c>
      <c r="H145" s="664" t="n">
        <v>1087</v>
      </c>
      <c r="I145" s="665" t="n">
        <v>3</v>
      </c>
      <c r="L145" s="663" t="e">
        <v>#REF!</v>
      </c>
    </row>
    <row r="146">
      <c r="B146" s="659" t="n">
        <v>110825</v>
      </c>
      <c r="C146" s="661" t="inlineStr">
        <is>
          <t>3A</t>
        </is>
      </c>
      <c r="D146" s="661" t="inlineStr">
        <is>
          <t>Wanvog</t>
        </is>
      </c>
      <c r="E146" s="661" t="inlineStr">
        <is>
          <t>RFRP</t>
        </is>
      </c>
      <c r="F146" s="661" t="inlineStr">
        <is>
          <t>F KISSIMMEEBEACH31801</t>
        </is>
      </c>
      <c r="G146" s="662" t="inlineStr">
        <is>
          <t>I</t>
        </is>
      </c>
      <c r="H146" s="664" t="n">
        <v>1002</v>
      </c>
      <c r="I146" s="665" t="n">
        <v>4.95</v>
      </c>
      <c r="L146" s="663" t="e">
        <v>#REF!</v>
      </c>
    </row>
    <row r="147">
      <c r="B147" s="659" t="n">
        <v>110826</v>
      </c>
      <c r="C147" s="661" t="inlineStr">
        <is>
          <t>2118A</t>
        </is>
      </c>
      <c r="D147" s="661" t="inlineStr">
        <is>
          <t>LONGXIANG</t>
        </is>
      </c>
      <c r="E147" s="661" t="inlineStr">
        <is>
          <t>RFR</t>
        </is>
      </c>
      <c r="F147" s="661" t="inlineStr">
        <is>
          <t>F VIVACHOCOLATE  50700</t>
        </is>
      </c>
      <c r="G147" s="662" t="inlineStr">
        <is>
          <t>I</t>
        </is>
      </c>
      <c r="H147" s="664" t="n">
        <v>1002</v>
      </c>
      <c r="I147" s="665" t="n">
        <v>2.55</v>
      </c>
      <c r="L147" s="663" t="e">
        <v>#REF!</v>
      </c>
    </row>
    <row r="148">
      <c r="B148" s="659" t="n">
        <v>110827</v>
      </c>
      <c r="C148" s="661" t="inlineStr">
        <is>
          <t>2118A</t>
        </is>
      </c>
      <c r="D148" s="661" t="inlineStr">
        <is>
          <t>LONGXIANG</t>
        </is>
      </c>
      <c r="E148" s="661" t="inlineStr">
        <is>
          <t>RFRP</t>
        </is>
      </c>
      <c r="F148" s="661" t="inlineStr">
        <is>
          <t>F VIVABUCKWHEAT50700</t>
        </is>
      </c>
      <c r="G148" s="662" t="inlineStr">
        <is>
          <t>I</t>
        </is>
      </c>
      <c r="H148" s="664" t="n">
        <v>1002</v>
      </c>
      <c r="I148" s="665" t="n">
        <v>2.55</v>
      </c>
      <c r="L148" s="663" t="e">
        <v>#REF!</v>
      </c>
    </row>
    <row r="149">
      <c r="B149" s="659" t="n">
        <v>110836</v>
      </c>
      <c r="C149" s="661" t="inlineStr">
        <is>
          <t>1160A</t>
        </is>
      </c>
      <c r="D149" s="661" t="inlineStr">
        <is>
          <t>QIDA</t>
        </is>
      </c>
      <c r="E149" s="661" t="inlineStr">
        <is>
          <t>RFR</t>
        </is>
      </c>
      <c r="F149" s="661" t="inlineStr">
        <is>
          <t>F MARLONSAGE53800</t>
        </is>
      </c>
      <c r="G149" s="662" t="inlineStr">
        <is>
          <t>I</t>
        </is>
      </c>
      <c r="H149" s="664" t="n">
        <v>1002</v>
      </c>
      <c r="I149" s="665" t="n">
        <v>1.89</v>
      </c>
      <c r="L149" s="663" t="e">
        <v>#REF!</v>
      </c>
    </row>
    <row r="150">
      <c r="B150" s="659" t="n">
        <v>110837</v>
      </c>
      <c r="C150" s="661" t="inlineStr">
        <is>
          <t>2108A</t>
        </is>
      </c>
      <c r="D150" s="661" t="inlineStr">
        <is>
          <t>Qing Feng</t>
        </is>
      </c>
      <c r="E150" s="661" t="inlineStr">
        <is>
          <t>RFR</t>
        </is>
      </c>
      <c r="F150" s="661" t="inlineStr">
        <is>
          <t>F MONTGOMERYMOCHA55101</t>
        </is>
      </c>
      <c r="G150" s="662" t="inlineStr">
        <is>
          <t>I</t>
        </is>
      </c>
      <c r="H150" s="664" t="n">
        <v>1002</v>
      </c>
      <c r="I150" s="665" t="n">
        <v>2.92</v>
      </c>
      <c r="L150" s="663" t="e">
        <v>#REF!</v>
      </c>
    </row>
    <row r="151">
      <c r="B151" s="659" t="n">
        <v>110838</v>
      </c>
      <c r="C151" s="661" t="inlineStr">
        <is>
          <t>3A</t>
        </is>
      </c>
      <c r="D151" s="661" t="inlineStr">
        <is>
          <t>Wanvog</t>
        </is>
      </c>
      <c r="E151" s="661" t="inlineStr">
        <is>
          <t>RFRP</t>
        </is>
      </c>
      <c r="F151" s="661" t="inlineStr">
        <is>
          <t>F WOWSPICE55101</t>
        </is>
      </c>
      <c r="G151" s="662" t="inlineStr">
        <is>
          <t>I</t>
        </is>
      </c>
      <c r="H151" s="664" t="n">
        <v>1039</v>
      </c>
      <c r="I151" s="665" t="n">
        <v>5.28</v>
      </c>
      <c r="L151" s="663" t="e">
        <v>#REF!</v>
      </c>
    </row>
    <row r="152">
      <c r="B152" s="659" t="n">
        <v>110839</v>
      </c>
      <c r="C152" s="661" t="inlineStr">
        <is>
          <t>2118A</t>
        </is>
      </c>
      <c r="D152" s="661" t="inlineStr">
        <is>
          <t>LONGXIANG</t>
        </is>
      </c>
      <c r="E152" s="661" t="inlineStr">
        <is>
          <t>RFR</t>
        </is>
      </c>
      <c r="F152" s="661" t="inlineStr">
        <is>
          <t>F GALAXYMOCHA74800</t>
        </is>
      </c>
      <c r="G152" s="662" t="inlineStr">
        <is>
          <t>I</t>
        </is>
      </c>
      <c r="H152" s="664" t="n">
        <v>1002</v>
      </c>
      <c r="I152" s="665" t="n">
        <v>3.03</v>
      </c>
      <c r="L152" s="663" t="e">
        <v>#REF!</v>
      </c>
    </row>
    <row r="153">
      <c r="B153" s="659" t="n">
        <v>110845</v>
      </c>
      <c r="C153" s="661" t="inlineStr">
        <is>
          <t>2110A</t>
        </is>
      </c>
      <c r="D153" s="661" t="inlineStr">
        <is>
          <t>NICELINK</t>
        </is>
      </c>
      <c r="E153" s="661" t="inlineStr">
        <is>
          <t>RFR</t>
        </is>
      </c>
      <c r="F153" s="661" t="inlineStr">
        <is>
          <t>F FAIRBANKSCHESTNUT55300</t>
        </is>
      </c>
      <c r="G153" s="662" t="inlineStr">
        <is>
          <t>I</t>
        </is>
      </c>
      <c r="H153" s="664" t="n">
        <v>1054</v>
      </c>
      <c r="I153" s="665" t="n">
        <v>6.97</v>
      </c>
      <c r="L153" s="663" t="e">
        <v>#REF!</v>
      </c>
    </row>
    <row r="154">
      <c r="B154" s="659" t="n">
        <v>110848</v>
      </c>
      <c r="C154" s="661" t="inlineStr">
        <is>
          <t>1160A</t>
        </is>
      </c>
      <c r="D154" s="661" t="inlineStr">
        <is>
          <t>QIDA</t>
        </is>
      </c>
      <c r="E154" s="661" t="inlineStr">
        <is>
          <t>RFR</t>
        </is>
      </c>
      <c r="F154" s="661" t="inlineStr">
        <is>
          <t>F FUSIONKHAKI 86702</t>
        </is>
      </c>
      <c r="G154" s="662" t="inlineStr">
        <is>
          <t>I</t>
        </is>
      </c>
      <c r="H154" s="664" t="n">
        <v>1002</v>
      </c>
      <c r="I154" s="665" t="n">
        <v>1.87</v>
      </c>
      <c r="L154" s="663" t="e">
        <v>#REF!</v>
      </c>
    </row>
    <row r="155">
      <c r="B155" s="659" t="n">
        <v>110860</v>
      </c>
      <c r="C155" s="661" t="inlineStr">
        <is>
          <t>2119A</t>
        </is>
      </c>
      <c r="D155" s="661" t="inlineStr">
        <is>
          <t>ZHONGFANG</t>
        </is>
      </c>
      <c r="E155" s="661" t="inlineStr">
        <is>
          <t>RFR</t>
        </is>
      </c>
      <c r="F155" s="668" t="inlineStr">
        <is>
          <t>F RANGERCANYON77302/59801</t>
        </is>
      </c>
      <c r="G155" s="662" t="inlineStr">
        <is>
          <t>I</t>
        </is>
      </c>
      <c r="L155" s="663" t="e">
        <v>#REF!</v>
      </c>
    </row>
    <row r="156">
      <c r="B156" s="659" t="n">
        <v>110861</v>
      </c>
      <c r="C156" s="661" t="inlineStr">
        <is>
          <t>2110A</t>
        </is>
      </c>
      <c r="D156" s="661" t="inlineStr">
        <is>
          <t>NICELINK</t>
        </is>
      </c>
      <c r="E156" s="661" t="inlineStr">
        <is>
          <t>RFRP</t>
        </is>
      </c>
      <c r="F156" s="661" t="inlineStr">
        <is>
          <t>F LUNARCINNAMON686/684</t>
        </is>
      </c>
      <c r="G156" s="662" t="inlineStr">
        <is>
          <t>I</t>
        </is>
      </c>
      <c r="H156" s="664" t="n">
        <v>1049</v>
      </c>
      <c r="I156" s="665" t="n">
        <v>4.02</v>
      </c>
      <c r="L156" s="663" t="e">
        <v>#REF!</v>
      </c>
    </row>
    <row r="157">
      <c r="B157" s="659" t="n">
        <v>110862</v>
      </c>
      <c r="C157" s="661" t="inlineStr">
        <is>
          <t>2118A</t>
        </is>
      </c>
      <c r="D157" s="661" t="inlineStr">
        <is>
          <t>LONGXIANG</t>
        </is>
      </c>
      <c r="E157" s="661" t="inlineStr">
        <is>
          <t>RFR</t>
        </is>
      </c>
      <c r="F157" s="661" t="inlineStr">
        <is>
          <t>F MOTIVATIONBURGUNDY68601</t>
        </is>
      </c>
      <c r="G157" s="662" t="inlineStr">
        <is>
          <t>I</t>
        </is>
      </c>
      <c r="L157" s="663" t="e">
        <v>#REF!</v>
      </c>
    </row>
    <row r="158">
      <c r="B158" s="659" t="n">
        <v>110863</v>
      </c>
      <c r="C158" s="661" t="inlineStr">
        <is>
          <t>2118A</t>
        </is>
      </c>
      <c r="D158" s="661" t="inlineStr">
        <is>
          <t>LONGXIANG</t>
        </is>
      </c>
      <c r="E158" s="661" t="inlineStr">
        <is>
          <t>RFR</t>
        </is>
      </c>
      <c r="F158" s="661" t="inlineStr">
        <is>
          <t>F VISTACAPPUCCINO68602/68405</t>
        </is>
      </c>
      <c r="G158" s="662" t="inlineStr">
        <is>
          <t>I</t>
        </is>
      </c>
      <c r="H158" s="664" t="n">
        <v>1002</v>
      </c>
      <c r="I158" s="665" t="n">
        <v>2.55</v>
      </c>
      <c r="L158" s="663" t="e">
        <v>#REF!</v>
      </c>
    </row>
    <row r="159">
      <c r="B159" s="659" t="n">
        <v>110873</v>
      </c>
      <c r="C159" s="661" t="inlineStr">
        <is>
          <t>2118A</t>
        </is>
      </c>
      <c r="D159" s="661" t="inlineStr">
        <is>
          <t>LONGXIANG</t>
        </is>
      </c>
      <c r="E159" s="661" t="inlineStr">
        <is>
          <t>RFR</t>
        </is>
      </c>
      <c r="F159" s="661" t="inlineStr">
        <is>
          <t>F FREESTYLEPEWTER58201</t>
        </is>
      </c>
      <c r="G159" s="662" t="inlineStr">
        <is>
          <t>I</t>
        </is>
      </c>
      <c r="H159" s="664" t="n">
        <v>1002</v>
      </c>
      <c r="I159" s="665" t="n">
        <v>2.55</v>
      </c>
      <c r="L159" s="663" t="e">
        <v>#REF!</v>
      </c>
    </row>
    <row r="160">
      <c r="B160" s="659" t="n">
        <v>110874</v>
      </c>
      <c r="C160" s="661" t="inlineStr">
        <is>
          <t>3A</t>
        </is>
      </c>
      <c r="D160" s="661" t="inlineStr">
        <is>
          <t>Wanvog</t>
        </is>
      </c>
      <c r="E160" s="661" t="inlineStr">
        <is>
          <t>RFR</t>
        </is>
      </c>
      <c r="F160" s="661" t="inlineStr">
        <is>
          <t>F BANCROFTLEMONCELLO58201</t>
        </is>
      </c>
      <c r="G160" s="662" t="inlineStr">
        <is>
          <t>I</t>
        </is>
      </c>
      <c r="H160" s="664" t="n">
        <v>1080</v>
      </c>
      <c r="I160" s="665" t="n">
        <v>6.64</v>
      </c>
      <c r="L160" s="663" t="e">
        <v>#REF!</v>
      </c>
    </row>
    <row r="161">
      <c r="B161" s="659" t="n">
        <v>110875</v>
      </c>
      <c r="C161" s="661" t="inlineStr">
        <is>
          <t>3A</t>
        </is>
      </c>
      <c r="D161" s="661" t="inlineStr">
        <is>
          <t>Wanvog</t>
        </is>
      </c>
      <c r="E161" s="661" t="inlineStr">
        <is>
          <t>RFRP</t>
        </is>
      </c>
      <c r="F161" s="661" t="inlineStr">
        <is>
          <t>F BOWIELEMONCELLO58201</t>
        </is>
      </c>
      <c r="G161" s="662" t="inlineStr">
        <is>
          <t>I</t>
        </is>
      </c>
      <c r="H161" s="664" t="n">
        <v>1081</v>
      </c>
      <c r="I161" s="665" t="n">
        <v>9.44</v>
      </c>
      <c r="L161" s="663" t="e">
        <v>#REF!</v>
      </c>
    </row>
    <row r="162">
      <c r="B162" s="659" t="n">
        <v>110883</v>
      </c>
      <c r="C162" s="661" t="inlineStr">
        <is>
          <t>1160A</t>
        </is>
      </c>
      <c r="D162" s="661" t="inlineStr">
        <is>
          <t>QIDA</t>
        </is>
      </c>
      <c r="E162" s="661" t="inlineStr">
        <is>
          <t>RFR</t>
        </is>
      </c>
      <c r="F162" s="661" t="inlineStr">
        <is>
          <t>F DURAPELLACAFE75600</t>
        </is>
      </c>
      <c r="G162" s="662" t="inlineStr">
        <is>
          <t>I</t>
        </is>
      </c>
      <c r="H162" s="664" t="n">
        <v>1002</v>
      </c>
      <c r="I162" s="665" t="n">
        <v>1.91</v>
      </c>
      <c r="L162" s="663" t="e">
        <v>#REF!</v>
      </c>
    </row>
    <row r="163">
      <c r="B163" s="659" t="n">
        <v>110887</v>
      </c>
      <c r="C163" s="661" t="inlineStr">
        <is>
          <t>2107A</t>
        </is>
      </c>
      <c r="D163" s="661" t="inlineStr">
        <is>
          <t>DONG TAI</t>
        </is>
      </c>
      <c r="E163" s="661" t="inlineStr">
        <is>
          <t>RFRU</t>
        </is>
      </c>
      <c r="F163" s="661" t="inlineStr">
        <is>
          <t>F SANMARCOCHOCOLATE 125/58363</t>
        </is>
      </c>
      <c r="G163" s="662" t="inlineStr">
        <is>
          <t>I</t>
        </is>
      </c>
      <c r="H163" s="664" t="n">
        <v>1035</v>
      </c>
      <c r="I163" s="665" t="n">
        <v>3.06</v>
      </c>
      <c r="L163" s="663" t="e">
        <v>#REF!</v>
      </c>
    </row>
    <row r="164">
      <c r="B164" s="659" t="n">
        <v>110899</v>
      </c>
      <c r="C164" s="661" t="inlineStr">
        <is>
          <t>3A</t>
        </is>
      </c>
      <c r="D164" s="661" t="inlineStr">
        <is>
          <t>Wanvog</t>
        </is>
      </c>
      <c r="E164" s="661" t="inlineStr">
        <is>
          <t>RFR</t>
        </is>
      </c>
      <c r="F164" s="661" t="inlineStr">
        <is>
          <t>F DEANVILLE ANTIQUE-51402</t>
        </is>
      </c>
      <c r="G164" s="662" t="inlineStr">
        <is>
          <t>I</t>
        </is>
      </c>
      <c r="H164" s="664" t="n">
        <v>1002</v>
      </c>
      <c r="I164" s="665" t="n">
        <v>4.99</v>
      </c>
      <c r="L164" s="663" t="e">
        <v>#REF!</v>
      </c>
    </row>
    <row r="165">
      <c r="B165" s="659" t="n">
        <v>110903</v>
      </c>
      <c r="C165" s="661" t="inlineStr">
        <is>
          <t>2109A</t>
        </is>
      </c>
      <c r="D165" s="661" t="inlineStr">
        <is>
          <t>ZhongWang</t>
        </is>
      </c>
      <c r="E165" s="661" t="inlineStr">
        <is>
          <t>RFR</t>
        </is>
      </c>
      <c r="F165" s="661" t="inlineStr">
        <is>
          <t>F CONNALLYFUDGE37800</t>
        </is>
      </c>
      <c r="G165" s="662" t="inlineStr">
        <is>
          <t>I</t>
        </is>
      </c>
      <c r="H165" s="664" t="n">
        <v>1040</v>
      </c>
      <c r="I165" s="665" t="n">
        <v>3.93</v>
      </c>
      <c r="L165" s="663" t="e">
        <v>#REF!</v>
      </c>
    </row>
    <row r="166">
      <c r="B166" s="659" t="n">
        <v>110904</v>
      </c>
      <c r="C166" s="661" t="inlineStr">
        <is>
          <t>2110A</t>
        </is>
      </c>
      <c r="D166" s="661" t="inlineStr">
        <is>
          <t>NICELINK</t>
        </is>
      </c>
      <c r="E166" s="661" t="inlineStr">
        <is>
          <t>RFRP</t>
        </is>
      </c>
      <c r="F166" s="661" t="inlineStr">
        <is>
          <t>F MELBOURNESEA37800</t>
        </is>
      </c>
      <c r="G166" s="662" t="inlineStr">
        <is>
          <t>I</t>
        </is>
      </c>
      <c r="L166" s="663" t="e">
        <v>#REF!</v>
      </c>
    </row>
    <row r="167">
      <c r="B167" s="659" t="n">
        <v>110905</v>
      </c>
      <c r="C167" s="661" t="inlineStr">
        <is>
          <t>2110A</t>
        </is>
      </c>
      <c r="D167" s="661" t="inlineStr">
        <is>
          <t>NICELINK</t>
        </is>
      </c>
      <c r="E167" s="661" t="inlineStr">
        <is>
          <t>RFRP</t>
        </is>
      </c>
      <c r="F167" s="661" t="inlineStr">
        <is>
          <t>F PARKVIEWSPA37800</t>
        </is>
      </c>
      <c r="G167" s="662" t="inlineStr">
        <is>
          <t>I</t>
        </is>
      </c>
      <c r="L167" s="663" t="e">
        <v>#REF!</v>
      </c>
    </row>
    <row r="168">
      <c r="B168" s="659" t="n">
        <v>110910</v>
      </c>
      <c r="C168" s="661" t="inlineStr">
        <is>
          <t>2108A</t>
        </is>
      </c>
      <c r="D168" s="661" t="inlineStr">
        <is>
          <t>Qing Feng</t>
        </is>
      </c>
      <c r="E168" s="661" t="inlineStr">
        <is>
          <t>RFR</t>
        </is>
      </c>
      <c r="F168" s="661" t="inlineStr">
        <is>
          <t>F CAMBRIDGEAMBER34103</t>
        </is>
      </c>
      <c r="G168" s="662" t="inlineStr">
        <is>
          <t>I</t>
        </is>
      </c>
      <c r="H168" s="664" t="n">
        <v>1002</v>
      </c>
      <c r="I168" s="665" t="n">
        <v>3.06</v>
      </c>
      <c r="L168" s="663" t="e">
        <v>#REF!</v>
      </c>
    </row>
    <row r="169">
      <c r="B169" s="659" t="n">
        <v>110911</v>
      </c>
      <c r="C169" s="661" t="inlineStr">
        <is>
          <t>3A</t>
        </is>
      </c>
      <c r="D169" s="661" t="inlineStr">
        <is>
          <t>Wanvog</t>
        </is>
      </c>
      <c r="E169" s="661" t="inlineStr">
        <is>
          <t>RFR</t>
        </is>
      </c>
      <c r="F169" s="661" t="inlineStr">
        <is>
          <t>F ADRIANDRIFTWOOD34103</t>
        </is>
      </c>
      <c r="G169" s="662" t="inlineStr">
        <is>
          <t>I</t>
        </is>
      </c>
      <c r="H169" s="664" t="n">
        <v>1044</v>
      </c>
      <c r="I169" s="665" t="n">
        <v>5.11</v>
      </c>
      <c r="L169" s="663" t="e">
        <v>#REF!</v>
      </c>
    </row>
    <row r="170">
      <c r="B170" s="659" t="n">
        <v>110912</v>
      </c>
      <c r="C170" s="661" t="inlineStr">
        <is>
          <t>2140A</t>
        </is>
      </c>
      <c r="D170" s="661" t="inlineStr">
        <is>
          <t>Kentex</t>
        </is>
      </c>
      <c r="E170" s="661" t="inlineStr">
        <is>
          <t>RFR</t>
        </is>
      </c>
      <c r="F170" s="661" t="inlineStr">
        <is>
          <t>F CAMBRIDGESOUTH SHORE34102</t>
        </is>
      </c>
      <c r="G170" s="662" t="inlineStr">
        <is>
          <t>I</t>
        </is>
      </c>
      <c r="H170" s="664" t="n">
        <v>1002</v>
      </c>
      <c r="I170" s="665" t="n">
        <v>3.06</v>
      </c>
      <c r="L170" s="663" t="e">
        <v>#REF!</v>
      </c>
    </row>
    <row r="171">
      <c r="B171" s="659" t="n">
        <v>110913</v>
      </c>
      <c r="C171" s="661" t="inlineStr">
        <is>
          <t>3A</t>
        </is>
      </c>
      <c r="D171" s="661" t="inlineStr">
        <is>
          <t>Wanvog</t>
        </is>
      </c>
      <c r="E171" s="661" t="inlineStr">
        <is>
          <t>RFR</t>
        </is>
      </c>
      <c r="F171" s="661" t="inlineStr">
        <is>
          <t>F WESTERLYCAPPUCCINO34102</t>
        </is>
      </c>
      <c r="G171" s="662" t="inlineStr">
        <is>
          <t>I</t>
        </is>
      </c>
      <c r="H171" s="664" t="n">
        <v>1042</v>
      </c>
      <c r="I171" s="665" t="n">
        <v>6.5</v>
      </c>
      <c r="L171" s="663" t="e">
        <v>#REF!</v>
      </c>
    </row>
    <row r="172">
      <c r="B172" s="659" t="n">
        <v>110918</v>
      </c>
      <c r="C172" s="661" t="inlineStr">
        <is>
          <t>2119A</t>
        </is>
      </c>
      <c r="D172" s="661" t="inlineStr">
        <is>
          <t>ZHONGFANG</t>
        </is>
      </c>
      <c r="E172" s="661" t="inlineStr">
        <is>
          <t>RFR</t>
        </is>
      </c>
      <c r="F172" s="661" t="inlineStr">
        <is>
          <t>F LAREDOCHOCOLATE67100</t>
        </is>
      </c>
      <c r="G172" s="662" t="inlineStr">
        <is>
          <t>I</t>
        </is>
      </c>
      <c r="L172" s="663" t="e">
        <v>#REF!</v>
      </c>
    </row>
    <row r="173">
      <c r="B173" s="659" t="n">
        <v>110919</v>
      </c>
      <c r="C173" s="661" t="inlineStr">
        <is>
          <t>2110A</t>
        </is>
      </c>
      <c r="D173" s="661" t="inlineStr">
        <is>
          <t>NICELINK</t>
        </is>
      </c>
      <c r="E173" s="661" t="inlineStr">
        <is>
          <t>RFR</t>
        </is>
      </c>
      <c r="F173" s="661" t="inlineStr">
        <is>
          <t>F SHEFFIELDANTIQUE374/373/3680</t>
        </is>
      </c>
      <c r="G173" s="662" t="inlineStr">
        <is>
          <t>I</t>
        </is>
      </c>
      <c r="H173" s="664" t="n">
        <v>1076</v>
      </c>
      <c r="I173" s="665" t="n">
        <v>5.09</v>
      </c>
      <c r="L173" s="663" t="e">
        <v>#REF!</v>
      </c>
    </row>
    <row r="174">
      <c r="B174" s="659" t="n">
        <v>110920</v>
      </c>
      <c r="C174" s="661" t="inlineStr">
        <is>
          <t>2110A</t>
        </is>
      </c>
      <c r="D174" s="661" t="inlineStr">
        <is>
          <t>NICELINK</t>
        </is>
      </c>
      <c r="E174" s="661" t="inlineStr">
        <is>
          <t>RFRP</t>
        </is>
      </c>
      <c r="F174" s="661" t="inlineStr">
        <is>
          <t>F DUNHILLJAVA 374/373/36800</t>
        </is>
      </c>
      <c r="G174" s="662" t="inlineStr">
        <is>
          <t>I</t>
        </is>
      </c>
      <c r="H174" s="664" t="n">
        <v>1077</v>
      </c>
      <c r="I174" s="665" t="n">
        <v>8.039999999999999</v>
      </c>
      <c r="L174" s="663" t="e">
        <v>#REF!</v>
      </c>
    </row>
    <row r="175">
      <c r="B175" s="659" t="n">
        <v>110922</v>
      </c>
      <c r="C175" s="661" t="inlineStr">
        <is>
          <t>2110A</t>
        </is>
      </c>
      <c r="D175" s="661" t="inlineStr">
        <is>
          <t>NICELINK</t>
        </is>
      </c>
      <c r="E175" s="661" t="inlineStr">
        <is>
          <t>RFRP</t>
        </is>
      </c>
      <c r="F175" s="661" t="inlineStr">
        <is>
          <t>F CHESHIRESABLE374/373/36800</t>
        </is>
      </c>
      <c r="G175" s="662" t="inlineStr">
        <is>
          <t>I</t>
        </is>
      </c>
      <c r="H175" s="664" t="n">
        <v>1078</v>
      </c>
      <c r="I175" s="665" t="n">
        <v>4.61</v>
      </c>
      <c r="L175" s="663" t="e">
        <v>#REF!</v>
      </c>
    </row>
    <row r="176">
      <c r="B176" s="659" t="n">
        <v>110984</v>
      </c>
      <c r="C176" s="661" t="inlineStr">
        <is>
          <t>2132A</t>
        </is>
      </c>
      <c r="D176" s="661" t="inlineStr">
        <is>
          <t>ZHONGYA</t>
        </is>
      </c>
      <c r="E176" s="661" t="inlineStr">
        <is>
          <t>RFR</t>
        </is>
      </c>
      <c r="F176" s="661" t="inlineStr">
        <is>
          <t>F NEWTONPEBBLE 67800</t>
        </is>
      </c>
      <c r="G176" s="662" t="inlineStr">
        <is>
          <t>I</t>
        </is>
      </c>
      <c r="H176" s="664" t="n">
        <v>1002</v>
      </c>
      <c r="I176" s="665" t="n">
        <v>3.26</v>
      </c>
      <c r="L176" s="663" t="e">
        <v>#REF!</v>
      </c>
    </row>
    <row r="177">
      <c r="B177" s="659" t="n">
        <v>110985</v>
      </c>
      <c r="C177" s="661" t="inlineStr">
        <is>
          <t>3A</t>
        </is>
      </c>
      <c r="D177" s="661" t="inlineStr">
        <is>
          <t>Wanvog</t>
        </is>
      </c>
      <c r="E177" s="661" t="inlineStr">
        <is>
          <t>RFR</t>
        </is>
      </c>
      <c r="F177" s="661" t="inlineStr">
        <is>
          <t>F PAOLA ROUGE67800</t>
        </is>
      </c>
      <c r="G177" s="662" t="inlineStr">
        <is>
          <t>I</t>
        </is>
      </c>
      <c r="H177" s="664" t="n">
        <v>1002</v>
      </c>
      <c r="I177" s="665" t="n">
        <v>6.25</v>
      </c>
      <c r="L177" s="663" t="e">
        <v>#REF!</v>
      </c>
    </row>
    <row r="178">
      <c r="B178" s="659" t="n">
        <v>110996</v>
      </c>
      <c r="C178" s="661" t="inlineStr">
        <is>
          <t>3A</t>
        </is>
      </c>
      <c r="D178" s="661" t="inlineStr">
        <is>
          <t>Wanvog</t>
        </is>
      </c>
      <c r="E178" s="661" t="inlineStr">
        <is>
          <t>RFR</t>
        </is>
      </c>
      <c r="F178" s="661" t="inlineStr">
        <is>
          <t>F DARBY SPICE 51000</t>
        </is>
      </c>
      <c r="G178" s="662" t="inlineStr">
        <is>
          <t>I</t>
        </is>
      </c>
      <c r="L178" s="663" t="e">
        <v>#REF!</v>
      </c>
    </row>
    <row r="179">
      <c r="B179" s="659" t="n">
        <v>110997</v>
      </c>
      <c r="C179" s="661" t="inlineStr">
        <is>
          <t>3A</t>
        </is>
      </c>
      <c r="D179" s="661" t="inlineStr">
        <is>
          <t>Wanvog</t>
        </is>
      </c>
      <c r="E179" s="661" t="inlineStr">
        <is>
          <t>RFR</t>
        </is>
      </c>
      <c r="F179" s="661" t="inlineStr">
        <is>
          <t>F ESMEROUGE51000</t>
        </is>
      </c>
      <c r="G179" s="662" t="inlineStr">
        <is>
          <t>I</t>
        </is>
      </c>
      <c r="L179" s="663" t="e">
        <v>#REF!</v>
      </c>
    </row>
    <row r="180">
      <c r="B180" s="659" t="n">
        <v>110998</v>
      </c>
      <c r="C180" s="661" t="inlineStr">
        <is>
          <t>3A</t>
        </is>
      </c>
      <c r="D180" s="661" t="inlineStr">
        <is>
          <t>Wanvog</t>
        </is>
      </c>
      <c r="E180" s="661" t="inlineStr">
        <is>
          <t>RFR</t>
        </is>
      </c>
      <c r="F180" s="661" t="inlineStr">
        <is>
          <t>F MCKINLEYROUGE51000</t>
        </is>
      </c>
      <c r="G180" s="662" t="inlineStr">
        <is>
          <t>I</t>
        </is>
      </c>
      <c r="L180" s="663" t="e">
        <v>#REF!</v>
      </c>
    </row>
    <row r="181">
      <c r="B181" s="659" t="n">
        <v>110999</v>
      </c>
      <c r="C181" s="661" t="inlineStr">
        <is>
          <t>2109A</t>
        </is>
      </c>
      <c r="D181" s="661" t="inlineStr">
        <is>
          <t>ZhongWang</t>
        </is>
      </c>
      <c r="E181" s="661" t="inlineStr">
        <is>
          <t>RFR</t>
        </is>
      </c>
      <c r="F181" s="661" t="inlineStr">
        <is>
          <t>F ELLINGTON DUNE 39700</t>
        </is>
      </c>
      <c r="G181" s="662" t="inlineStr">
        <is>
          <t>I</t>
        </is>
      </c>
      <c r="L181" s="663" t="e">
        <v>#REF!</v>
      </c>
    </row>
    <row r="182">
      <c r="B182" s="667" t="n">
        <v>111001</v>
      </c>
      <c r="C182" s="668" t="inlineStr">
        <is>
          <t>2117A</t>
        </is>
      </c>
      <c r="D182" s="668" t="inlineStr">
        <is>
          <t>FENGRUN</t>
        </is>
      </c>
      <c r="E182" s="668" t="inlineStr">
        <is>
          <t>RFRU</t>
        </is>
      </c>
      <c r="F182" s="668" t="inlineStr">
        <is>
          <t>F DEL RIO DURABLENDSEDONA39200</t>
        </is>
      </c>
      <c r="G182" s="669" t="inlineStr">
        <is>
          <t>I</t>
        </is>
      </c>
      <c r="H182" s="664" t="n">
        <v>1035</v>
      </c>
      <c r="I182" s="665" t="n">
        <v>4.73</v>
      </c>
      <c r="L182" s="663" t="e">
        <v>#REF!</v>
      </c>
    </row>
    <row r="183">
      <c r="B183" s="659" t="n">
        <v>111002</v>
      </c>
      <c r="C183" s="661" t="inlineStr">
        <is>
          <t>2117A</t>
        </is>
      </c>
      <c r="D183" s="661" t="inlineStr">
        <is>
          <t>FENGRUN</t>
        </is>
      </c>
      <c r="E183" s="661" t="inlineStr">
        <is>
          <t>RFRU</t>
        </is>
      </c>
      <c r="F183" s="661" t="inlineStr">
        <is>
          <t>F VINYLSEDONA39200</t>
        </is>
      </c>
      <c r="G183" s="662" t="inlineStr">
        <is>
          <t>I</t>
        </is>
      </c>
      <c r="H183" s="664" t="n">
        <v>1035</v>
      </c>
      <c r="I183" s="665" t="n">
        <v>3.49</v>
      </c>
      <c r="L183" s="663" t="e">
        <v>#REF!</v>
      </c>
    </row>
    <row r="184">
      <c r="B184" s="659" t="n">
        <v>111007</v>
      </c>
      <c r="C184" s="661" t="inlineStr">
        <is>
          <t>2119A</t>
        </is>
      </c>
      <c r="D184" s="661" t="inlineStr">
        <is>
          <t>ZHONGFANG</t>
        </is>
      </c>
      <c r="E184" s="661" t="inlineStr">
        <is>
          <t>RFR</t>
        </is>
      </c>
      <c r="F184" s="661" t="inlineStr">
        <is>
          <t>F RILEY SLATE 32100</t>
        </is>
      </c>
      <c r="G184" s="662" t="inlineStr">
        <is>
          <t>I</t>
        </is>
      </c>
      <c r="H184" s="664" t="n">
        <v>1002</v>
      </c>
      <c r="I184" s="665" t="n">
        <v>3.33</v>
      </c>
      <c r="L184" s="663" t="e">
        <v>#REF!</v>
      </c>
    </row>
    <row r="185">
      <c r="B185" s="659" t="n">
        <v>111008</v>
      </c>
      <c r="C185" s="661" t="inlineStr">
        <is>
          <t>3A</t>
        </is>
      </c>
      <c r="D185" s="661" t="inlineStr">
        <is>
          <t>Wanvog</t>
        </is>
      </c>
      <c r="E185" s="661" t="inlineStr">
        <is>
          <t>RFR</t>
        </is>
      </c>
      <c r="F185" s="661" t="inlineStr">
        <is>
          <t>F ROSEPETALLEMONCELLO32100</t>
        </is>
      </c>
      <c r="G185" s="662" t="inlineStr">
        <is>
          <t>I</t>
        </is>
      </c>
      <c r="H185" s="664" t="n">
        <v>1072</v>
      </c>
      <c r="I185" s="665" t="n">
        <v>8.07</v>
      </c>
      <c r="L185" s="663" t="e">
        <v>#REF!</v>
      </c>
    </row>
    <row r="186">
      <c r="B186" s="659" t="n">
        <v>111011</v>
      </c>
      <c r="C186" s="661" t="inlineStr">
        <is>
          <t>3A</t>
        </is>
      </c>
      <c r="D186" s="661" t="inlineStr">
        <is>
          <t>Wanvog</t>
        </is>
      </c>
      <c r="E186" s="661" t="inlineStr">
        <is>
          <t>RFRP</t>
        </is>
      </c>
      <c r="F186" s="661" t="inlineStr">
        <is>
          <t>F LUCKY LINENBLACK17700</t>
        </is>
      </c>
      <c r="G186" s="662" t="inlineStr">
        <is>
          <t>I</t>
        </is>
      </c>
      <c r="H186" s="664" t="n">
        <v>1063</v>
      </c>
      <c r="I186" s="665" t="n">
        <v>3.29</v>
      </c>
      <c r="L186" s="663" t="e">
        <v>#REF!</v>
      </c>
    </row>
    <row r="187">
      <c r="B187" s="659" t="n">
        <v>111017</v>
      </c>
      <c r="C187" s="661" t="inlineStr">
        <is>
          <t>2132A</t>
        </is>
      </c>
      <c r="D187" s="661" t="inlineStr">
        <is>
          <t>ZHONGYA</t>
        </is>
      </c>
      <c r="E187" s="661" t="inlineStr">
        <is>
          <t>RFR</t>
        </is>
      </c>
      <c r="F187" s="661" t="inlineStr">
        <is>
          <t>F LANSBURYAUTUMN39100</t>
        </is>
      </c>
      <c r="G187" s="662" t="inlineStr">
        <is>
          <t>I</t>
        </is>
      </c>
      <c r="H187" s="664" t="n">
        <v>1002</v>
      </c>
      <c r="I187" s="665" t="n">
        <v>3.26</v>
      </c>
      <c r="L187" s="663" t="e">
        <v>#REF!</v>
      </c>
    </row>
    <row r="188">
      <c r="B188" s="659" t="n">
        <v>111018</v>
      </c>
      <c r="C188" s="661" t="inlineStr">
        <is>
          <t>3A</t>
        </is>
      </c>
      <c r="D188" s="661" t="inlineStr">
        <is>
          <t>Wanvog</t>
        </is>
      </c>
      <c r="E188" s="661" t="inlineStr">
        <is>
          <t>RFRP</t>
        </is>
      </c>
      <c r="F188" s="661" t="inlineStr">
        <is>
          <t>F ADRIANAUTUMN39100</t>
        </is>
      </c>
      <c r="G188" s="662" t="inlineStr">
        <is>
          <t>I</t>
        </is>
      </c>
      <c r="H188" s="664" t="n">
        <v>1070</v>
      </c>
      <c r="I188" s="665" t="n">
        <v>4.58</v>
      </c>
      <c r="L188" s="663" t="e">
        <v>#REF!</v>
      </c>
    </row>
    <row r="189">
      <c r="B189" s="659" t="n">
        <v>111021</v>
      </c>
      <c r="C189" s="661" t="inlineStr">
        <is>
          <t>1160A</t>
        </is>
      </c>
      <c r="D189" s="661" t="inlineStr">
        <is>
          <t>QIDA</t>
        </is>
      </c>
      <c r="E189" s="661" t="inlineStr">
        <is>
          <t>RFR</t>
        </is>
      </c>
      <c r="F189" s="661" t="inlineStr">
        <is>
          <t>F LEXI COBBLESTONE13102/0</t>
        </is>
      </c>
      <c r="G189" s="662" t="inlineStr">
        <is>
          <t>I</t>
        </is>
      </c>
      <c r="H189" s="664" t="n">
        <v>1002</v>
      </c>
      <c r="I189" s="665" t="n">
        <v>1.89</v>
      </c>
      <c r="L189" s="663" t="e">
        <v>#REF!</v>
      </c>
    </row>
    <row r="190">
      <c r="B190" s="659" t="n">
        <v>111022</v>
      </c>
      <c r="C190" s="661" t="inlineStr">
        <is>
          <t>2111A</t>
        </is>
      </c>
      <c r="D190" s="661" t="inlineStr">
        <is>
          <t>BESTON</t>
        </is>
      </c>
      <c r="E190" s="661" t="inlineStr">
        <is>
          <t>RFRU</t>
        </is>
      </c>
      <c r="F190" s="661" t="inlineStr">
        <is>
          <t>F Devin DuraBlendSandstone1310</t>
        </is>
      </c>
      <c r="G190" s="662" t="inlineStr">
        <is>
          <t>I</t>
        </is>
      </c>
      <c r="L190" s="663" t="e">
        <v>#REF!</v>
      </c>
    </row>
    <row r="191">
      <c r="B191" s="659" t="n">
        <v>111023</v>
      </c>
      <c r="C191" s="661" t="inlineStr">
        <is>
          <t>2111A</t>
        </is>
      </c>
      <c r="D191" s="661" t="inlineStr">
        <is>
          <t>BESTON</t>
        </is>
      </c>
      <c r="E191" s="661" t="inlineStr">
        <is>
          <t>RFRU</t>
        </is>
      </c>
      <c r="F191" s="661" t="inlineStr">
        <is>
          <t>F VinylSandstone 13100/36501</t>
        </is>
      </c>
      <c r="G191" s="662" t="inlineStr">
        <is>
          <t>I</t>
        </is>
      </c>
      <c r="L191" s="663" t="e">
        <v>#REF!</v>
      </c>
    </row>
    <row r="192">
      <c r="B192" s="659" t="n">
        <v>111024</v>
      </c>
      <c r="C192" s="661" t="inlineStr">
        <is>
          <t>3A</t>
        </is>
      </c>
      <c r="D192" s="661" t="inlineStr">
        <is>
          <t>Wanvog</t>
        </is>
      </c>
      <c r="E192" s="661" t="inlineStr">
        <is>
          <t>RFRP</t>
        </is>
      </c>
      <c r="F192" s="661" t="inlineStr">
        <is>
          <t>F ORLEANSBEAVER 37701</t>
        </is>
      </c>
      <c r="G192" s="662" t="inlineStr">
        <is>
          <t>I</t>
        </is>
      </c>
      <c r="L192" s="663" t="e">
        <v>#REF!</v>
      </c>
    </row>
    <row r="193">
      <c r="B193" s="659" t="n">
        <v>111026</v>
      </c>
      <c r="C193" s="661" t="inlineStr">
        <is>
          <t>2117A</t>
        </is>
      </c>
      <c r="D193" s="661" t="inlineStr">
        <is>
          <t>FENGRUN</t>
        </is>
      </c>
      <c r="E193" s="661" t="inlineStr">
        <is>
          <t>RFRU</t>
        </is>
      </c>
      <c r="F193" s="661" t="inlineStr">
        <is>
          <t>F JORDON DURABLENDJAVE 12300</t>
        </is>
      </c>
      <c r="G193" s="662" t="inlineStr">
        <is>
          <t>I</t>
        </is>
      </c>
      <c r="H193" s="664" t="n">
        <v>1035</v>
      </c>
      <c r="I193" s="665" t="n">
        <v>4.13</v>
      </c>
      <c r="L193" s="663" t="e">
        <v>#REF!</v>
      </c>
    </row>
    <row r="194">
      <c r="B194" s="659" t="n">
        <v>111027</v>
      </c>
      <c r="C194" s="661" t="inlineStr">
        <is>
          <t>2117A</t>
        </is>
      </c>
      <c r="D194" s="661" t="inlineStr">
        <is>
          <t>FENGRUN</t>
        </is>
      </c>
      <c r="E194" s="661" t="inlineStr">
        <is>
          <t>RFRU</t>
        </is>
      </c>
      <c r="F194" s="661" t="inlineStr">
        <is>
          <t>F PU JAVE 12300</t>
        </is>
      </c>
      <c r="G194" s="662" t="inlineStr">
        <is>
          <t>I</t>
        </is>
      </c>
      <c r="H194" s="664" t="n">
        <v>1035</v>
      </c>
      <c r="I194" s="665" t="n">
        <v>3.58</v>
      </c>
      <c r="L194" s="663" t="e">
        <v>#REF!</v>
      </c>
    </row>
    <row r="195">
      <c r="B195" s="659" t="n">
        <v>111030</v>
      </c>
      <c r="C195" s="661" t="inlineStr">
        <is>
          <t>2126A</t>
        </is>
      </c>
      <c r="D195" s="661" t="inlineStr">
        <is>
          <t>WANSHIDA</t>
        </is>
      </c>
      <c r="E195" s="661" t="inlineStr">
        <is>
          <t>RFR</t>
        </is>
      </c>
      <c r="F195" s="661" t="inlineStr">
        <is>
          <t>F MERCER MOCHA 53800/76602</t>
        </is>
      </c>
      <c r="G195" s="662" t="inlineStr">
        <is>
          <t>I</t>
        </is>
      </c>
      <c r="H195" s="664" t="n">
        <v>1002</v>
      </c>
      <c r="I195" s="665" t="n">
        <v>1.77</v>
      </c>
      <c r="L195" s="663" t="e">
        <v>#REF!</v>
      </c>
    </row>
    <row r="196">
      <c r="B196" s="659" t="n">
        <v>111031</v>
      </c>
      <c r="C196" s="661" t="inlineStr">
        <is>
          <t>2126A</t>
        </is>
      </c>
      <c r="D196" s="661" t="inlineStr">
        <is>
          <t>WANSHIDA</t>
        </is>
      </c>
      <c r="E196" s="661" t="inlineStr">
        <is>
          <t>RFR</t>
        </is>
      </c>
      <c r="F196" s="661" t="inlineStr">
        <is>
          <t>F MERCER CAFE 53801/76600</t>
        </is>
      </c>
      <c r="G196" s="662" t="inlineStr">
        <is>
          <t>I</t>
        </is>
      </c>
      <c r="H196" s="664" t="n">
        <v>1002</v>
      </c>
      <c r="I196" s="665" t="n">
        <v>1.77</v>
      </c>
      <c r="L196" s="663" t="e">
        <v>#REF!</v>
      </c>
    </row>
    <row r="197">
      <c r="B197" s="659" t="n">
        <v>111038</v>
      </c>
      <c r="C197" s="661" t="inlineStr">
        <is>
          <t>2110A</t>
        </is>
      </c>
      <c r="D197" s="661" t="inlineStr">
        <is>
          <t>NICELINK</t>
        </is>
      </c>
      <c r="E197" s="661" t="inlineStr">
        <is>
          <t>RFRP</t>
        </is>
      </c>
      <c r="F197" s="661" t="inlineStr">
        <is>
          <t>F ARABESQUESPA36901</t>
        </is>
      </c>
      <c r="G197" s="662" t="inlineStr">
        <is>
          <t>I</t>
        </is>
      </c>
      <c r="H197" s="664" t="n">
        <v>1066</v>
      </c>
      <c r="I197" s="665" t="n">
        <v>6.7</v>
      </c>
      <c r="L197" s="663" t="e">
        <v>#REF!</v>
      </c>
    </row>
    <row r="198">
      <c r="B198" s="659" t="n">
        <v>111039</v>
      </c>
      <c r="C198" s="661" t="inlineStr">
        <is>
          <t>3A</t>
        </is>
      </c>
      <c r="D198" s="661" t="inlineStr">
        <is>
          <t>Wanvog</t>
        </is>
      </c>
      <c r="E198" s="661" t="inlineStr">
        <is>
          <t>RFRP</t>
        </is>
      </c>
      <c r="F198" s="661" t="inlineStr">
        <is>
          <t>F CHATEAUCLASSIC37100</t>
        </is>
      </c>
      <c r="G198" s="662" t="inlineStr">
        <is>
          <t>I</t>
        </is>
      </c>
      <c r="H198" s="664" t="n">
        <v>1002</v>
      </c>
      <c r="I198" s="665" t="n">
        <v>4.68</v>
      </c>
      <c r="L198" s="663" t="e">
        <v>#REF!</v>
      </c>
    </row>
    <row r="199">
      <c r="B199" s="659" t="n">
        <v>111042</v>
      </c>
      <c r="C199" s="661" t="inlineStr">
        <is>
          <t>2118A</t>
        </is>
      </c>
      <c r="D199" s="661" t="inlineStr">
        <is>
          <t>LONGXIANG</t>
        </is>
      </c>
      <c r="E199" s="661" t="inlineStr">
        <is>
          <t>RFR</t>
        </is>
      </c>
      <c r="F199" s="661" t="inlineStr">
        <is>
          <t>F LOWELLTOFFEE51501</t>
        </is>
      </c>
      <c r="G199" s="662" t="inlineStr">
        <is>
          <t>I</t>
        </is>
      </c>
      <c r="H199" s="664" t="n">
        <v>1002</v>
      </c>
      <c r="I199" s="665" t="n">
        <v>2.68</v>
      </c>
      <c r="L199" s="663" t="e">
        <v>#REF!</v>
      </c>
    </row>
    <row r="200">
      <c r="B200" s="659" t="n">
        <v>111043</v>
      </c>
      <c r="C200" s="661" t="inlineStr">
        <is>
          <t>2118A</t>
        </is>
      </c>
      <c r="D200" s="661" t="inlineStr">
        <is>
          <t>LONGXIANG</t>
        </is>
      </c>
      <c r="E200" s="661" t="inlineStr">
        <is>
          <t>RFR</t>
        </is>
      </c>
      <c r="F200" s="661" t="inlineStr">
        <is>
          <t>F LOWELLCHOCOLATE51502</t>
        </is>
      </c>
      <c r="G200" s="662" t="inlineStr">
        <is>
          <t>I</t>
        </is>
      </c>
      <c r="H200" s="664" t="n">
        <v>1002</v>
      </c>
      <c r="I200" s="665" t="n">
        <v>2.68</v>
      </c>
      <c r="L200" s="663" t="e">
        <v>#REF!</v>
      </c>
    </row>
    <row r="201">
      <c r="B201" s="659" t="n">
        <v>111046</v>
      </c>
      <c r="C201" s="661" t="inlineStr">
        <is>
          <t>3A</t>
        </is>
      </c>
      <c r="D201" s="661" t="inlineStr">
        <is>
          <t>Wanvog</t>
        </is>
      </c>
      <c r="E201" s="661" t="inlineStr">
        <is>
          <t>RFR</t>
        </is>
      </c>
      <c r="F201" s="661" t="inlineStr">
        <is>
          <t>F COSMO MARBLE36901</t>
        </is>
      </c>
      <c r="G201" s="662" t="inlineStr">
        <is>
          <t>I</t>
        </is>
      </c>
      <c r="H201" s="664" t="n">
        <v>1073</v>
      </c>
      <c r="I201" s="665" t="n">
        <v>3.82</v>
      </c>
      <c r="L201" s="663" t="e">
        <v>#REF!</v>
      </c>
    </row>
    <row r="202">
      <c r="B202" s="659" t="n">
        <v>111051</v>
      </c>
      <c r="C202" s="661" t="inlineStr">
        <is>
          <t>3A</t>
        </is>
      </c>
      <c r="D202" s="661" t="inlineStr">
        <is>
          <t>Wanvog</t>
        </is>
      </c>
      <c r="E202" s="661" t="inlineStr">
        <is>
          <t>RFRP</t>
        </is>
      </c>
      <c r="F202" s="661" t="inlineStr">
        <is>
          <t>F PORTERSGATEUMBER80901</t>
        </is>
      </c>
      <c r="G202" s="662" t="inlineStr">
        <is>
          <t>I</t>
        </is>
      </c>
      <c r="H202" s="664" t="n">
        <v>1073</v>
      </c>
      <c r="I202" s="665" t="n">
        <v>3.82</v>
      </c>
      <c r="L202" s="663" t="e">
        <v>#REF!</v>
      </c>
    </row>
    <row r="203">
      <c r="B203" s="659" t="n">
        <v>111052</v>
      </c>
      <c r="C203" s="661" t="inlineStr">
        <is>
          <t>2134A</t>
        </is>
      </c>
      <c r="D203" s="661" t="inlineStr">
        <is>
          <t>Swavelle</t>
        </is>
      </c>
      <c r="E203" s="661" t="inlineStr">
        <is>
          <t>RFRP</t>
        </is>
      </c>
      <c r="F203" s="661" t="inlineStr">
        <is>
          <t>F KATIANA BROWN80901</t>
        </is>
      </c>
      <c r="G203" s="662" t="inlineStr">
        <is>
          <t>I</t>
        </is>
      </c>
      <c r="H203" s="664" t="n">
        <v>1106</v>
      </c>
      <c r="I203" s="665" t="n">
        <v>13.4</v>
      </c>
      <c r="L203" s="663" t="e">
        <v>#REF!</v>
      </c>
    </row>
    <row r="204">
      <c r="B204" s="659" t="n">
        <v>111053</v>
      </c>
      <c r="C204" s="661" t="inlineStr">
        <is>
          <t>2134A</t>
        </is>
      </c>
      <c r="D204" s="661" t="inlineStr">
        <is>
          <t>Swavelle</t>
        </is>
      </c>
      <c r="E204" s="661" t="inlineStr">
        <is>
          <t>RFRP</t>
        </is>
      </c>
      <c r="F204" s="661" t="inlineStr">
        <is>
          <t>F KATREL LEBROWN80901</t>
        </is>
      </c>
      <c r="G204" s="662" t="inlineStr">
        <is>
          <t>I</t>
        </is>
      </c>
      <c r="H204" s="664" t="n">
        <v>1107</v>
      </c>
      <c r="I204" s="665" t="n">
        <v>13.05</v>
      </c>
      <c r="L204" s="663" t="e">
        <v>#REF!</v>
      </c>
    </row>
    <row r="205">
      <c r="B205" s="659" t="n">
        <v>111054</v>
      </c>
      <c r="C205" s="661" t="inlineStr">
        <is>
          <t>2110A</t>
        </is>
      </c>
      <c r="D205" s="661" t="inlineStr">
        <is>
          <t>NICELINK</t>
        </is>
      </c>
      <c r="E205" s="661" t="inlineStr">
        <is>
          <t>RFRP</t>
        </is>
      </c>
      <c r="F205" s="661" t="inlineStr">
        <is>
          <t>F DRAKE SEA80901</t>
        </is>
      </c>
      <c r="G205" s="662" t="inlineStr">
        <is>
          <t>I</t>
        </is>
      </c>
      <c r="H205" s="664" t="n">
        <v>1083</v>
      </c>
      <c r="I205" s="665" t="n">
        <v>4.82</v>
      </c>
      <c r="L205" s="663" t="e">
        <v>#REF!</v>
      </c>
    </row>
    <row r="206">
      <c r="B206" s="659" t="n">
        <v>111055</v>
      </c>
      <c r="C206" s="661" t="inlineStr">
        <is>
          <t>2118A</t>
        </is>
      </c>
      <c r="D206" s="661" t="inlineStr">
        <is>
          <t>LONGXIANG</t>
        </is>
      </c>
      <c r="E206" s="661" t="inlineStr">
        <is>
          <t>RFR</t>
        </is>
      </c>
      <c r="F206" s="661" t="inlineStr">
        <is>
          <t>F WILKINS CANYON83001</t>
        </is>
      </c>
      <c r="G206" s="662" t="inlineStr">
        <is>
          <t>I</t>
        </is>
      </c>
      <c r="H206" s="664" t="n">
        <v>1111</v>
      </c>
      <c r="I206" s="665" t="n">
        <v>4.23</v>
      </c>
      <c r="L206" s="663" t="e">
        <v>#REF!</v>
      </c>
    </row>
    <row r="207">
      <c r="B207" s="659" t="n">
        <v>111057</v>
      </c>
      <c r="C207" s="661" t="inlineStr">
        <is>
          <t>3A</t>
        </is>
      </c>
      <c r="D207" s="661" t="inlineStr">
        <is>
          <t>Wanvog</t>
        </is>
      </c>
      <c r="E207" s="661" t="inlineStr">
        <is>
          <t>RFRP</t>
        </is>
      </c>
      <c r="F207" s="661" t="inlineStr">
        <is>
          <t>F CLAREMOREANTIQUE 84303</t>
        </is>
      </c>
      <c r="G207" s="662" t="inlineStr">
        <is>
          <t>I</t>
        </is>
      </c>
      <c r="L207" s="663" t="e">
        <v>#REF!</v>
      </c>
    </row>
    <row r="208">
      <c r="B208" s="659" t="n">
        <v>111059</v>
      </c>
      <c r="C208" s="661" t="inlineStr">
        <is>
          <t>3A</t>
        </is>
      </c>
      <c r="D208" s="661" t="inlineStr">
        <is>
          <t>Wanvog</t>
        </is>
      </c>
      <c r="E208" s="661" t="inlineStr">
        <is>
          <t>RFRP</t>
        </is>
      </c>
      <c r="F208" s="661" t="inlineStr">
        <is>
          <t>F RYVERS PHEASANT84303</t>
        </is>
      </c>
      <c r="G208" s="662" t="inlineStr">
        <is>
          <t>I</t>
        </is>
      </c>
      <c r="L208" s="663" t="e">
        <v>#REF!</v>
      </c>
    </row>
    <row r="209">
      <c r="B209" s="659" t="n">
        <v>111060</v>
      </c>
      <c r="C209" s="661" t="inlineStr">
        <is>
          <t>3A</t>
        </is>
      </c>
      <c r="D209" s="661" t="inlineStr">
        <is>
          <t>Wanvog</t>
        </is>
      </c>
      <c r="E209" s="661" t="inlineStr">
        <is>
          <t>RFRP</t>
        </is>
      </c>
      <c r="F209" s="661" t="inlineStr">
        <is>
          <t>F RILAN PHEASANT84303</t>
        </is>
      </c>
      <c r="G209" s="662" t="inlineStr">
        <is>
          <t>I</t>
        </is>
      </c>
      <c r="L209" s="663" t="e">
        <v>#REF!</v>
      </c>
    </row>
    <row r="210">
      <c r="B210" s="659" t="n">
        <v>111067</v>
      </c>
      <c r="C210" s="661" t="inlineStr">
        <is>
          <t>3A</t>
        </is>
      </c>
      <c r="D210" s="661" t="inlineStr">
        <is>
          <t>Wanvog</t>
        </is>
      </c>
      <c r="E210" s="661" t="inlineStr">
        <is>
          <t>RDN</t>
        </is>
      </c>
      <c r="F210" s="661" t="inlineStr">
        <is>
          <t>F TICKING 57" 42000</t>
        </is>
      </c>
      <c r="G210" s="662" t="inlineStr">
        <is>
          <t>I</t>
        </is>
      </c>
      <c r="H210" s="664" t="n">
        <v>1061</v>
      </c>
      <c r="I210" s="665" t="n">
        <v>1.72</v>
      </c>
      <c r="J210" s="666" t="inlineStr">
        <is>
          <t>M</t>
        </is>
      </c>
      <c r="L210" s="663" t="e">
        <v>#REF!</v>
      </c>
    </row>
    <row r="211">
      <c r="B211" s="659" t="n">
        <v>111069</v>
      </c>
      <c r="C211" s="661" t="inlineStr">
        <is>
          <t>1160A</t>
        </is>
      </c>
      <c r="D211" s="661" t="inlineStr">
        <is>
          <t>QIDA</t>
        </is>
      </c>
      <c r="E211" s="661" t="inlineStr">
        <is>
          <t>RFR</t>
        </is>
      </c>
      <c r="F211" s="661" t="inlineStr">
        <is>
          <t>F DOMINATORBLACK71500</t>
        </is>
      </c>
      <c r="G211" s="662" t="inlineStr">
        <is>
          <t>I</t>
        </is>
      </c>
      <c r="H211" s="664" t="n">
        <v>1002</v>
      </c>
      <c r="I211" s="665" t="n">
        <v>1.91</v>
      </c>
      <c r="L211" s="663" t="e">
        <v>#REF!</v>
      </c>
    </row>
    <row r="212">
      <c r="B212" s="659" t="n">
        <v>111098</v>
      </c>
      <c r="C212" s="661" t="inlineStr">
        <is>
          <t>2106A</t>
        </is>
      </c>
      <c r="D212" s="661" t="inlineStr">
        <is>
          <t>OMNOVA</t>
        </is>
      </c>
      <c r="E212" s="661" t="inlineStr">
        <is>
          <t>RFRU</t>
        </is>
      </c>
      <c r="F212" s="661" t="inlineStr">
        <is>
          <t>F DURAHIDEBICASTBROWN194/58501</t>
        </is>
      </c>
      <c r="G212" s="662" t="inlineStr">
        <is>
          <t>I</t>
        </is>
      </c>
      <c r="H212" s="664" t="n">
        <v>1035</v>
      </c>
      <c r="I212" s="665" t="n">
        <v>2.23</v>
      </c>
      <c r="L212" s="663" t="e">
        <v>#REF!</v>
      </c>
    </row>
    <row r="213">
      <c r="B213" s="659" t="n">
        <v>111099</v>
      </c>
      <c r="C213" s="661" t="inlineStr">
        <is>
          <t>2136A</t>
        </is>
      </c>
      <c r="D213" s="661" t="inlineStr">
        <is>
          <t>JUNJIA</t>
        </is>
      </c>
      <c r="E213" s="661" t="inlineStr">
        <is>
          <t>RFR</t>
        </is>
      </c>
      <c r="F213" s="661" t="inlineStr">
        <is>
          <t>F SLOANCITRUS 18600</t>
        </is>
      </c>
      <c r="G213" s="662" t="inlineStr">
        <is>
          <t>I</t>
        </is>
      </c>
      <c r="L213" s="663" t="e">
        <v>#REF!</v>
      </c>
    </row>
    <row r="214">
      <c r="B214" s="659" t="n">
        <v>111100</v>
      </c>
      <c r="C214" s="661" t="inlineStr">
        <is>
          <t>2132A</t>
        </is>
      </c>
      <c r="D214" s="661" t="inlineStr">
        <is>
          <t>ZHONGYA</t>
        </is>
      </c>
      <c r="E214" s="661" t="inlineStr">
        <is>
          <t>RFRP</t>
        </is>
      </c>
      <c r="F214" s="661" t="inlineStr">
        <is>
          <t>F SPIRALSCITRUS 18600</t>
        </is>
      </c>
      <c r="G214" s="662" t="inlineStr">
        <is>
          <t>I</t>
        </is>
      </c>
      <c r="H214" s="664" t="n">
        <v>1071</v>
      </c>
      <c r="L214" s="663" t="e">
        <v>#REF!</v>
      </c>
    </row>
    <row r="215">
      <c r="B215" s="659" t="n">
        <v>111101</v>
      </c>
      <c r="C215" s="661" t="inlineStr">
        <is>
          <t>2136A</t>
        </is>
      </c>
      <c r="D215" s="661" t="inlineStr">
        <is>
          <t>JUNJIA</t>
        </is>
      </c>
      <c r="E215" s="661" t="inlineStr">
        <is>
          <t>RFR</t>
        </is>
      </c>
      <c r="F215" s="661" t="inlineStr">
        <is>
          <t>F SLOANLATTE 18601</t>
        </is>
      </c>
      <c r="G215" s="662" t="inlineStr">
        <is>
          <t>I</t>
        </is>
      </c>
      <c r="H215" s="664" t="n">
        <v>1002</v>
      </c>
      <c r="I215" s="665" t="n">
        <v>2.06</v>
      </c>
      <c r="L215" s="663" t="e">
        <v>#REF!</v>
      </c>
    </row>
    <row r="216">
      <c r="B216" s="659" t="n">
        <v>111105</v>
      </c>
      <c r="C216" s="661" t="inlineStr">
        <is>
          <t>2136A</t>
        </is>
      </c>
      <c r="D216" s="661" t="inlineStr">
        <is>
          <t>JUNJIA</t>
        </is>
      </c>
      <c r="E216" s="661" t="inlineStr">
        <is>
          <t>RFR</t>
        </is>
      </c>
      <c r="F216" s="661" t="inlineStr">
        <is>
          <t>F MINDYINDIGO39500</t>
        </is>
      </c>
      <c r="G216" s="662" t="inlineStr">
        <is>
          <t>I</t>
        </is>
      </c>
      <c r="H216" s="664" t="n">
        <v>1002</v>
      </c>
      <c r="I216" s="665" t="n">
        <v>2.06</v>
      </c>
      <c r="L216" s="663" t="e">
        <v>#REF!</v>
      </c>
    </row>
    <row r="217">
      <c r="B217" s="659" t="n">
        <v>111106</v>
      </c>
      <c r="C217" s="661" t="inlineStr">
        <is>
          <t>2136A</t>
        </is>
      </c>
      <c r="D217" s="661" t="inlineStr">
        <is>
          <t>JUNJIA</t>
        </is>
      </c>
      <c r="E217" s="661" t="inlineStr">
        <is>
          <t>RFRP</t>
        </is>
      </c>
      <c r="F217" s="661" t="inlineStr">
        <is>
          <t>F STARLITETAUPE39500</t>
        </is>
      </c>
      <c r="G217" s="662" t="inlineStr">
        <is>
          <t>I</t>
        </is>
      </c>
      <c r="H217" s="664" t="n">
        <v>1002</v>
      </c>
      <c r="I217" s="665" t="n">
        <v>2.06</v>
      </c>
      <c r="L217" s="663" t="e">
        <v>#REF!</v>
      </c>
    </row>
    <row r="218">
      <c r="B218" s="659" t="n">
        <v>111107</v>
      </c>
      <c r="C218" s="661" t="inlineStr">
        <is>
          <t>3A</t>
        </is>
      </c>
      <c r="D218" s="661" t="inlineStr">
        <is>
          <t>Wanvog</t>
        </is>
      </c>
      <c r="E218" s="661" t="inlineStr">
        <is>
          <t>RFRP</t>
        </is>
      </c>
      <c r="F218" s="661" t="inlineStr">
        <is>
          <t>F SUN SPIRITSEAL39500</t>
        </is>
      </c>
      <c r="G218" s="662" t="inlineStr">
        <is>
          <t>I</t>
        </is>
      </c>
      <c r="H218" s="664" t="n">
        <v>1071</v>
      </c>
      <c r="I218" s="665" t="n">
        <v>7.75</v>
      </c>
      <c r="L218" s="663" t="e">
        <v>#REF!</v>
      </c>
    </row>
    <row r="219">
      <c r="B219" s="659" t="n">
        <v>111108</v>
      </c>
      <c r="C219" s="661" t="inlineStr">
        <is>
          <t>2136A</t>
        </is>
      </c>
      <c r="D219" s="661" t="inlineStr">
        <is>
          <t>JUNJIA</t>
        </is>
      </c>
      <c r="E219" s="661" t="inlineStr">
        <is>
          <t>RFR</t>
        </is>
      </c>
      <c r="F219" s="661" t="inlineStr">
        <is>
          <t>F KYLEELAGOON66400</t>
        </is>
      </c>
      <c r="G219" s="662" t="inlineStr">
        <is>
          <t>I</t>
        </is>
      </c>
      <c r="H219" s="664" t="n">
        <v>1002</v>
      </c>
      <c r="I219" s="665" t="n">
        <v>2.06</v>
      </c>
      <c r="L219" s="663" t="e">
        <v>#REF!</v>
      </c>
    </row>
    <row r="220">
      <c r="B220" s="659" t="n">
        <v>111109</v>
      </c>
      <c r="C220" s="661" t="inlineStr">
        <is>
          <t>3A</t>
        </is>
      </c>
      <c r="D220" s="661" t="inlineStr">
        <is>
          <t>Wanvog</t>
        </is>
      </c>
      <c r="E220" s="661" t="inlineStr">
        <is>
          <t>RFR</t>
        </is>
      </c>
      <c r="F220" s="661" t="inlineStr">
        <is>
          <t>F FLOWER POWERMARINE 66400</t>
        </is>
      </c>
      <c r="G220" s="662" t="inlineStr">
        <is>
          <t>I</t>
        </is>
      </c>
      <c r="H220" s="664" t="n">
        <v>1002</v>
      </c>
      <c r="I220" s="665" t="n">
        <v>3.56</v>
      </c>
      <c r="L220" s="663" t="e">
        <v>#REF!</v>
      </c>
    </row>
    <row r="221">
      <c r="B221" s="659" t="n">
        <v>111110</v>
      </c>
      <c r="C221" s="661" t="inlineStr">
        <is>
          <t>2136A</t>
        </is>
      </c>
      <c r="D221" s="661" t="inlineStr">
        <is>
          <t>JUNJIA</t>
        </is>
      </c>
      <c r="E221" s="661" t="inlineStr">
        <is>
          <t>RFR</t>
        </is>
      </c>
      <c r="F221" s="661" t="inlineStr">
        <is>
          <t>F KYLEEGOLDENROD66401</t>
        </is>
      </c>
      <c r="G221" s="662" t="inlineStr">
        <is>
          <t>I</t>
        </is>
      </c>
      <c r="H221" s="664" t="n">
        <v>1002</v>
      </c>
      <c r="I221" s="665" t="n">
        <v>2.06</v>
      </c>
      <c r="L221" s="663" t="e">
        <v>#REF!</v>
      </c>
    </row>
    <row r="222">
      <c r="B222" s="659" t="n">
        <v>111113</v>
      </c>
      <c r="C222" s="661" t="inlineStr">
        <is>
          <t>3A</t>
        </is>
      </c>
      <c r="D222" s="661" t="inlineStr">
        <is>
          <t>Wanvog</t>
        </is>
      </c>
      <c r="E222" s="661" t="inlineStr">
        <is>
          <t>RFR</t>
        </is>
      </c>
      <c r="F222" s="661" t="inlineStr">
        <is>
          <t>F ZELLACHARCOAL70200</t>
        </is>
      </c>
      <c r="G222" s="662" t="inlineStr">
        <is>
          <t>I</t>
        </is>
      </c>
      <c r="H222" s="664" t="n">
        <v>1002</v>
      </c>
      <c r="I222" s="665" t="n">
        <v>2.65</v>
      </c>
      <c r="L222" s="663" t="e">
        <v>#REF!</v>
      </c>
    </row>
    <row r="223">
      <c r="B223" s="659" t="n">
        <v>111122</v>
      </c>
      <c r="C223" s="661" t="inlineStr">
        <is>
          <t>2109A</t>
        </is>
      </c>
      <c r="D223" s="661" t="inlineStr">
        <is>
          <t>ZhongWang</t>
        </is>
      </c>
      <c r="E223" s="661" t="inlineStr">
        <is>
          <t>RFR</t>
        </is>
      </c>
      <c r="F223" s="661" t="inlineStr">
        <is>
          <t>F MCELROYTOPAR74400</t>
        </is>
      </c>
      <c r="G223" s="662" t="inlineStr">
        <is>
          <t>I</t>
        </is>
      </c>
      <c r="H223" s="664" t="n">
        <v>1002</v>
      </c>
      <c r="I223" s="665" t="n">
        <v>4.04</v>
      </c>
      <c r="L223" s="663" t="e">
        <v>#REF!</v>
      </c>
    </row>
    <row r="224">
      <c r="B224" s="659" t="n">
        <v>111124</v>
      </c>
      <c r="C224" s="661" t="inlineStr">
        <is>
          <t>2136A</t>
        </is>
      </c>
      <c r="D224" s="661" t="inlineStr">
        <is>
          <t>JUNJIA</t>
        </is>
      </c>
      <c r="E224" s="661" t="inlineStr">
        <is>
          <t>RFR</t>
        </is>
      </c>
      <c r="F224" s="661" t="inlineStr">
        <is>
          <t>F GALE RUSSET(ADOBE)77800</t>
        </is>
      </c>
      <c r="G224" s="662" t="inlineStr">
        <is>
          <t>I</t>
        </is>
      </c>
      <c r="H224" s="664" t="n">
        <v>1002</v>
      </c>
      <c r="I224" s="665" t="n">
        <v>2.06</v>
      </c>
      <c r="L224" s="663" t="e">
        <v>#REF!</v>
      </c>
    </row>
    <row r="225">
      <c r="B225" s="659" t="n">
        <v>111125</v>
      </c>
      <c r="C225" s="661" t="inlineStr">
        <is>
          <t>3A</t>
        </is>
      </c>
      <c r="D225" s="661" t="inlineStr">
        <is>
          <t>Wanvog</t>
        </is>
      </c>
      <c r="E225" s="661" t="inlineStr">
        <is>
          <t>RFR</t>
        </is>
      </c>
      <c r="F225" s="661" t="inlineStr">
        <is>
          <t>F ACADIARUSTIC77800</t>
        </is>
      </c>
      <c r="G225" s="662" t="inlineStr">
        <is>
          <t>I</t>
        </is>
      </c>
      <c r="H225" s="664" t="n">
        <v>1002</v>
      </c>
      <c r="I225" s="665" t="n">
        <v>6.65</v>
      </c>
      <c r="L225" s="663" t="e">
        <v>#REF!</v>
      </c>
    </row>
    <row r="226">
      <c r="B226" s="659" t="n">
        <v>111126</v>
      </c>
      <c r="C226" s="661" t="inlineStr">
        <is>
          <t>2119A</t>
        </is>
      </c>
      <c r="D226" s="661" t="inlineStr">
        <is>
          <t>ZHONGFANG</t>
        </is>
      </c>
      <c r="E226" s="661" t="inlineStr">
        <is>
          <t>RFR</t>
        </is>
      </c>
      <c r="F226" s="661" t="inlineStr">
        <is>
          <t>F Y VETTESTEEL77900</t>
        </is>
      </c>
      <c r="G226" s="662" t="inlineStr">
        <is>
          <t>I</t>
        </is>
      </c>
      <c r="H226" s="664" t="n">
        <v>1002</v>
      </c>
      <c r="I226" s="665" t="n">
        <v>3.14</v>
      </c>
      <c r="L226" s="663" t="e">
        <v>#REF!</v>
      </c>
    </row>
    <row r="227">
      <c r="B227" s="667" t="n">
        <v>111127</v>
      </c>
      <c r="C227" s="668" t="inlineStr">
        <is>
          <t>3A</t>
        </is>
      </c>
      <c r="D227" s="668" t="inlineStr">
        <is>
          <t>Wanvog</t>
        </is>
      </c>
      <c r="E227" s="668" t="inlineStr">
        <is>
          <t>RFR</t>
        </is>
      </c>
      <c r="F227" s="668" t="inlineStr">
        <is>
          <t>F PANDORA(PAISLEY)INDIGO77900</t>
        </is>
      </c>
      <c r="G227" s="669" t="n">
        <v>1074</v>
      </c>
      <c r="H227" s="664" t="n">
        <v>1154</v>
      </c>
      <c r="I227" s="670" t="n">
        <v>5.51</v>
      </c>
      <c r="J227" s="671" t="n"/>
      <c r="L227" s="672" t="e">
        <v>#REF!</v>
      </c>
      <c r="N227" s="673" t="inlineStr">
        <is>
          <t>luc dau 1074 doi thanh 1154</t>
        </is>
      </c>
      <c r="Q227" s="673" t="inlineStr">
        <is>
          <t>Vải 45% Polyester 55% cotton</t>
        </is>
      </c>
      <c r="T227" s="674" t="inlineStr">
        <is>
          <t>for PZ50716/774/842</t>
        </is>
      </c>
    </row>
    <row r="228">
      <c r="B228" s="659" t="n">
        <v>111128</v>
      </c>
      <c r="C228" s="661" t="inlineStr">
        <is>
          <t>3A</t>
        </is>
      </c>
      <c r="D228" s="661" t="inlineStr">
        <is>
          <t>Wanvog</t>
        </is>
      </c>
      <c r="E228" s="661" t="inlineStr">
        <is>
          <t>RFR</t>
        </is>
      </c>
      <c r="F228" s="661" t="inlineStr">
        <is>
          <t>F WILLA (STRIPE)BLACK77900</t>
        </is>
      </c>
      <c r="G228" s="662" t="inlineStr">
        <is>
          <t>I</t>
        </is>
      </c>
      <c r="H228" s="664" t="n">
        <v>1083</v>
      </c>
      <c r="I228" s="665" t="n">
        <v>4.33</v>
      </c>
      <c r="L228" s="663" t="e">
        <v>#REF!</v>
      </c>
    </row>
    <row r="229">
      <c r="B229" s="659" t="n">
        <v>111129</v>
      </c>
      <c r="C229" s="661" t="inlineStr">
        <is>
          <t>2110A</t>
        </is>
      </c>
      <c r="D229" s="661" t="inlineStr">
        <is>
          <t>NICELINK</t>
        </is>
      </c>
      <c r="E229" s="661" t="inlineStr">
        <is>
          <t>RFR</t>
        </is>
      </c>
      <c r="F229" s="661" t="inlineStr">
        <is>
          <t>F CANDLEWICKLINEN78200</t>
        </is>
      </c>
      <c r="G229" s="662" t="inlineStr">
        <is>
          <t>I</t>
        </is>
      </c>
      <c r="H229" s="664" t="n">
        <v>1002</v>
      </c>
      <c r="I229" s="665" t="n">
        <v>4.13</v>
      </c>
      <c r="L229" s="663" t="e">
        <v>#REF!</v>
      </c>
    </row>
    <row r="230">
      <c r="B230" s="659" t="n">
        <v>111130</v>
      </c>
      <c r="C230" s="661" t="inlineStr">
        <is>
          <t>3A</t>
        </is>
      </c>
      <c r="D230" s="661" t="inlineStr">
        <is>
          <t>Wanvog</t>
        </is>
      </c>
      <c r="E230" s="661" t="inlineStr">
        <is>
          <t>RFRP</t>
        </is>
      </c>
      <c r="F230" s="661" t="inlineStr">
        <is>
          <t>F WATAUGA (STRIPE)LINEN78200</t>
        </is>
      </c>
      <c r="G230" s="662" t="inlineStr">
        <is>
          <t>I</t>
        </is>
      </c>
      <c r="H230" s="664" t="n">
        <v>1002</v>
      </c>
      <c r="I230" s="665" t="n">
        <v>3.59</v>
      </c>
      <c r="L230" s="663" t="e">
        <v>#REF!</v>
      </c>
    </row>
    <row r="231">
      <c r="B231" s="659" t="n">
        <v>111131</v>
      </c>
      <c r="C231" s="661" t="inlineStr">
        <is>
          <t>1160A</t>
        </is>
      </c>
      <c r="D231" s="661" t="inlineStr">
        <is>
          <t>QIDA</t>
        </is>
      </c>
      <c r="E231" s="661" t="inlineStr">
        <is>
          <t>RFR</t>
        </is>
      </c>
      <c r="F231" s="661" t="inlineStr">
        <is>
          <t>F ZIADURAPELLAKIWI 11805</t>
        </is>
      </c>
      <c r="G231" s="662" t="inlineStr">
        <is>
          <t>I</t>
        </is>
      </c>
      <c r="H231" s="664" t="n">
        <v>1002</v>
      </c>
      <c r="I231" s="665" t="n">
        <v>1.94</v>
      </c>
      <c r="L231" s="663" t="e">
        <v>#REF!</v>
      </c>
    </row>
    <row r="232">
      <c r="B232" s="659" t="n">
        <v>111140</v>
      </c>
      <c r="C232" s="661" t="inlineStr">
        <is>
          <t>3A</t>
        </is>
      </c>
      <c r="D232" s="661" t="inlineStr">
        <is>
          <t>Wanvog</t>
        </is>
      </c>
      <c r="E232" s="661" t="inlineStr">
        <is>
          <t>RFRP</t>
        </is>
      </c>
      <c r="F232" s="661" t="inlineStr">
        <is>
          <t>F LINEVILLE (FLORAL)LINEN78200</t>
        </is>
      </c>
      <c r="G232" s="662" t="inlineStr">
        <is>
          <t>I</t>
        </is>
      </c>
      <c r="H232" s="664" t="n">
        <v>1002</v>
      </c>
      <c r="I232" s="665" t="n">
        <v>4.07</v>
      </c>
      <c r="L232" s="663" t="e">
        <v>#REF!</v>
      </c>
    </row>
    <row r="233">
      <c r="B233" s="659" t="n">
        <v>111141</v>
      </c>
      <c r="C233" s="661" t="inlineStr">
        <is>
          <t>2136A</t>
        </is>
      </c>
      <c r="D233" s="661" t="inlineStr">
        <is>
          <t>JUNJIA</t>
        </is>
      </c>
      <c r="E233" s="661" t="inlineStr">
        <is>
          <t>RFR</t>
        </is>
      </c>
      <c r="F233" s="661" t="inlineStr">
        <is>
          <t>F KYLE(J202)CLAY(PIPER)78700</t>
        </is>
      </c>
      <c r="G233" s="662" t="inlineStr">
        <is>
          <t>I</t>
        </is>
      </c>
      <c r="H233" s="664" t="n">
        <v>1002</v>
      </c>
      <c r="I233" s="665" t="n">
        <v>2.06</v>
      </c>
      <c r="L233" s="663" t="e">
        <v>#REF!</v>
      </c>
    </row>
    <row r="234">
      <c r="B234" s="659" t="n">
        <v>111142</v>
      </c>
      <c r="C234" s="661" t="inlineStr">
        <is>
          <t>3A</t>
        </is>
      </c>
      <c r="D234" s="661" t="inlineStr">
        <is>
          <t>Wanvog</t>
        </is>
      </c>
      <c r="E234" s="661" t="inlineStr">
        <is>
          <t>RFR</t>
        </is>
      </c>
      <c r="F234" s="661" t="inlineStr">
        <is>
          <t>F VESPERNEUTRAL78700</t>
        </is>
      </c>
      <c r="G234" s="662" t="inlineStr">
        <is>
          <t>I</t>
        </is>
      </c>
      <c r="H234" s="664" t="n">
        <v>1002</v>
      </c>
      <c r="I234" s="665" t="n">
        <v>5.94</v>
      </c>
      <c r="L234" s="663" t="e">
        <v>#REF!</v>
      </c>
    </row>
    <row r="235">
      <c r="B235" s="659" t="n">
        <v>111143</v>
      </c>
      <c r="C235" s="661" t="inlineStr">
        <is>
          <t>2118A</t>
        </is>
      </c>
      <c r="D235" s="661" t="inlineStr">
        <is>
          <t>LONGXIANG</t>
        </is>
      </c>
      <c r="E235" s="661" t="inlineStr">
        <is>
          <t>RFR</t>
        </is>
      </c>
      <c r="F235" s="661" t="inlineStr">
        <is>
          <t>F HAWKEYE (GRACIA)DUNE85000</t>
        </is>
      </c>
      <c r="G235" s="662" t="inlineStr">
        <is>
          <t>I</t>
        </is>
      </c>
      <c r="L235" s="663" t="e">
        <v>#REF!</v>
      </c>
    </row>
    <row r="236">
      <c r="B236" s="659" t="n">
        <v>111147</v>
      </c>
      <c r="C236" s="661" t="inlineStr">
        <is>
          <t>2132A</t>
        </is>
      </c>
      <c r="D236" s="661" t="inlineStr">
        <is>
          <t>ZHONGYA</t>
        </is>
      </c>
      <c r="E236" s="661" t="inlineStr">
        <is>
          <t>RFR</t>
        </is>
      </c>
      <c r="F236" s="661" t="inlineStr">
        <is>
          <t>F MARTINSBURGMEADOW 57300</t>
        </is>
      </c>
      <c r="G236" s="662" t="inlineStr">
        <is>
          <t>I</t>
        </is>
      </c>
      <c r="H236" s="664" t="n">
        <v>1002</v>
      </c>
      <c r="I236" s="665" t="n">
        <v>3.65</v>
      </c>
      <c r="L236" s="663" t="e">
        <v>#REF!</v>
      </c>
    </row>
    <row r="237">
      <c r="B237" s="659" t="n">
        <v>111148</v>
      </c>
      <c r="C237" s="661" t="inlineStr">
        <is>
          <t>2110A</t>
        </is>
      </c>
      <c r="D237" s="661" t="inlineStr">
        <is>
          <t>NICELINK</t>
        </is>
      </c>
      <c r="E237" s="661" t="inlineStr">
        <is>
          <t>RFRP</t>
        </is>
      </c>
      <c r="F237" s="661" t="inlineStr">
        <is>
          <t>F FRESCOSEAFOAM 57300</t>
        </is>
      </c>
      <c r="G237" s="662" t="inlineStr">
        <is>
          <t>I</t>
        </is>
      </c>
      <c r="H237" s="664" t="n">
        <v>1043</v>
      </c>
      <c r="I237" s="665" t="n">
        <v>4.98</v>
      </c>
      <c r="L237" s="663" t="e">
        <v>#REF!</v>
      </c>
    </row>
    <row r="238">
      <c r="B238" s="659" t="n">
        <v>111149</v>
      </c>
      <c r="C238" s="661" t="inlineStr">
        <is>
          <t>2118A</t>
        </is>
      </c>
      <c r="D238" s="661" t="inlineStr">
        <is>
          <t>LONGXIANG</t>
        </is>
      </c>
      <c r="E238" s="661" t="inlineStr">
        <is>
          <t>RFR</t>
        </is>
      </c>
      <c r="F238" s="661" t="inlineStr">
        <is>
          <t>F NAPTUNECAFE 64003</t>
        </is>
      </c>
      <c r="G238" s="662" t="inlineStr">
        <is>
          <t>I</t>
        </is>
      </c>
      <c r="H238" s="664" t="n">
        <v>1002</v>
      </c>
      <c r="I238" s="665" t="n">
        <v>2.96</v>
      </c>
      <c r="L238" s="663" t="e">
        <v>#REF!</v>
      </c>
    </row>
    <row r="239">
      <c r="B239" s="659" t="n">
        <v>111150</v>
      </c>
      <c r="C239" s="661" t="inlineStr">
        <is>
          <t>2132A</t>
        </is>
      </c>
      <c r="D239" s="661" t="inlineStr">
        <is>
          <t>ZHONGYA</t>
        </is>
      </c>
      <c r="E239" s="661" t="inlineStr">
        <is>
          <t>RFRP</t>
        </is>
      </c>
      <c r="F239" s="661" t="inlineStr">
        <is>
          <t>F HODGE PODGEMULTI 64003</t>
        </is>
      </c>
      <c r="G239" s="662" t="inlineStr">
        <is>
          <t>I</t>
        </is>
      </c>
      <c r="H239" s="664" t="n">
        <v>1082</v>
      </c>
      <c r="I239" s="665" t="n">
        <v>4.89</v>
      </c>
      <c r="L239" s="663" t="e">
        <v>#REF!</v>
      </c>
    </row>
    <row r="240">
      <c r="B240" s="659" t="n">
        <v>111151</v>
      </c>
      <c r="C240" s="661" t="inlineStr">
        <is>
          <t>2108A</t>
        </is>
      </c>
      <c r="D240" s="661" t="inlineStr">
        <is>
          <t>Qing Feng</t>
        </is>
      </c>
      <c r="E240" s="661" t="inlineStr">
        <is>
          <t>RFR</t>
        </is>
      </c>
      <c r="F240" s="661" t="inlineStr">
        <is>
          <t>F LYNNWOODAMBER 68500</t>
        </is>
      </c>
      <c r="G240" s="662" t="inlineStr">
        <is>
          <t>I</t>
        </is>
      </c>
      <c r="H240" s="664" t="n">
        <v>1002</v>
      </c>
      <c r="I240" s="665" t="n">
        <v>3.94</v>
      </c>
      <c r="L240" s="663" t="e">
        <v>#REF!</v>
      </c>
    </row>
    <row r="241">
      <c r="B241" s="659" t="n">
        <v>111152</v>
      </c>
      <c r="C241" s="661" t="inlineStr">
        <is>
          <t>2109A</t>
        </is>
      </c>
      <c r="D241" s="661" t="inlineStr">
        <is>
          <t>ZhongWang</t>
        </is>
      </c>
      <c r="E241" s="661" t="inlineStr">
        <is>
          <t>RFRP</t>
        </is>
      </c>
      <c r="F241" s="661" t="inlineStr">
        <is>
          <t>F BELLAGIOCHOCOLATE 68500</t>
        </is>
      </c>
      <c r="G241" s="662" t="inlineStr">
        <is>
          <t>I</t>
        </is>
      </c>
      <c r="H241" s="664" t="n">
        <v>1079</v>
      </c>
      <c r="I241" s="665" t="n">
        <v>8.94</v>
      </c>
      <c r="L241" s="663" t="e">
        <v>#REF!</v>
      </c>
    </row>
    <row r="242">
      <c r="B242" s="659" t="n">
        <v>111153</v>
      </c>
      <c r="C242" s="661" t="inlineStr">
        <is>
          <t>2109A</t>
        </is>
      </c>
      <c r="D242" s="661" t="inlineStr">
        <is>
          <t>ZhongWang</t>
        </is>
      </c>
      <c r="E242" s="661" t="inlineStr">
        <is>
          <t>RFR</t>
        </is>
      </c>
      <c r="F242" s="661" t="inlineStr">
        <is>
          <t>F PARCAL E STATESBASIL 74005</t>
        </is>
      </c>
      <c r="G242" s="662" t="inlineStr">
        <is>
          <t>I</t>
        </is>
      </c>
      <c r="H242" s="664" t="n">
        <v>1002</v>
      </c>
      <c r="I242" s="665" t="n">
        <v>3.93</v>
      </c>
      <c r="L242" s="663" t="e">
        <v>#REF!</v>
      </c>
    </row>
    <row r="243">
      <c r="B243" s="659" t="n">
        <v>111154</v>
      </c>
      <c r="C243" s="661" t="inlineStr">
        <is>
          <t>3A</t>
        </is>
      </c>
      <c r="D243" s="661" t="inlineStr">
        <is>
          <t>Wanvog</t>
        </is>
      </c>
      <c r="E243" s="661" t="inlineStr">
        <is>
          <t>RFRP</t>
        </is>
      </c>
      <c r="F243" s="661" t="inlineStr">
        <is>
          <t>F TARAWOODAQUAMARINE 74005</t>
        </is>
      </c>
      <c r="G243" s="662" t="inlineStr">
        <is>
          <t>I</t>
        </is>
      </c>
      <c r="H243" s="664" t="n">
        <v>1042</v>
      </c>
      <c r="I243" s="665" t="n">
        <v>6.03</v>
      </c>
      <c r="L243" s="663" t="e">
        <v>#REF!</v>
      </c>
    </row>
    <row r="244">
      <c r="B244" s="659" t="n">
        <v>111155</v>
      </c>
      <c r="C244" s="661" t="inlineStr">
        <is>
          <t>3A</t>
        </is>
      </c>
      <c r="D244" s="661" t="inlineStr">
        <is>
          <t>Wanvog</t>
        </is>
      </c>
      <c r="E244" s="661" t="inlineStr">
        <is>
          <t>RFRP</t>
        </is>
      </c>
      <c r="F244" s="661" t="inlineStr">
        <is>
          <t>F RIVERCRESTSMOKE 74005</t>
        </is>
      </c>
      <c r="G244" s="662" t="inlineStr">
        <is>
          <t>I</t>
        </is>
      </c>
      <c r="H244" s="664" t="n">
        <v>1072</v>
      </c>
      <c r="I244" s="665" t="n">
        <v>4.81</v>
      </c>
      <c r="L244" s="663" t="e">
        <v>#REF!</v>
      </c>
    </row>
    <row r="245">
      <c r="B245" s="659" t="n">
        <v>111156</v>
      </c>
      <c r="C245" s="661" t="inlineStr">
        <is>
          <t>3A</t>
        </is>
      </c>
      <c r="D245" s="661" t="inlineStr">
        <is>
          <t>Wanvog</t>
        </is>
      </c>
      <c r="E245" s="661" t="inlineStr">
        <is>
          <t>RFRP</t>
        </is>
      </c>
      <c r="F245" s="661" t="inlineStr">
        <is>
          <t>F TURKISH DELIGHTRUBY 78303</t>
        </is>
      </c>
      <c r="G245" s="662" t="inlineStr">
        <is>
          <t>I</t>
        </is>
      </c>
      <c r="L245" s="663" t="e">
        <v>#REF!</v>
      </c>
    </row>
    <row r="246">
      <c r="B246" s="659" t="n">
        <v>111157</v>
      </c>
      <c r="C246" s="661" t="inlineStr">
        <is>
          <t>3A</t>
        </is>
      </c>
      <c r="D246" s="661" t="inlineStr">
        <is>
          <t>Wanvog</t>
        </is>
      </c>
      <c r="E246" s="661" t="inlineStr">
        <is>
          <t>RFRP</t>
        </is>
      </c>
      <c r="F246" s="661" t="inlineStr">
        <is>
          <t>F TRATTORIAMAROON 78303</t>
        </is>
      </c>
      <c r="G246" s="662" t="inlineStr">
        <is>
          <t>I</t>
        </is>
      </c>
      <c r="L246" s="663" t="e">
        <v>#REF!</v>
      </c>
    </row>
    <row r="247">
      <c r="B247" s="659" t="n">
        <v>111160</v>
      </c>
      <c r="C247" s="661" t="inlineStr">
        <is>
          <t>2108A</t>
        </is>
      </c>
      <c r="D247" s="661" t="inlineStr">
        <is>
          <t>Qing Feng</t>
        </is>
      </c>
      <c r="E247" s="661" t="inlineStr">
        <is>
          <t>RFR</t>
        </is>
      </c>
      <c r="F247" s="661" t="inlineStr">
        <is>
          <t>F ADDISONKHAKI 78800</t>
        </is>
      </c>
      <c r="G247" s="662" t="inlineStr">
        <is>
          <t>I</t>
        </is>
      </c>
      <c r="L247" s="663" t="e">
        <v>#REF!</v>
      </c>
    </row>
    <row r="248">
      <c r="B248" s="659" t="n">
        <v>111161</v>
      </c>
      <c r="C248" s="661" t="inlineStr">
        <is>
          <t>3A</t>
        </is>
      </c>
      <c r="D248" s="661" t="inlineStr">
        <is>
          <t>Wanvog</t>
        </is>
      </c>
      <c r="E248" s="661" t="inlineStr">
        <is>
          <t>RFRP</t>
        </is>
      </c>
      <c r="F248" s="661" t="inlineStr">
        <is>
          <t>F KATEBLUE 78800</t>
        </is>
      </c>
      <c r="G248" s="662" t="inlineStr">
        <is>
          <t>I</t>
        </is>
      </c>
      <c r="H248" s="664" t="n">
        <v>1002</v>
      </c>
      <c r="I248" s="665" t="n">
        <v>6.65</v>
      </c>
      <c r="L248" s="663" t="e">
        <v>#REF!</v>
      </c>
    </row>
    <row r="249">
      <c r="B249" s="659" t="n">
        <v>111162</v>
      </c>
      <c r="C249" s="661" t="inlineStr">
        <is>
          <t>3A</t>
        </is>
      </c>
      <c r="D249" s="661" t="inlineStr">
        <is>
          <t>Wanvog</t>
        </is>
      </c>
      <c r="E249" s="661" t="inlineStr">
        <is>
          <t>RFR</t>
        </is>
      </c>
      <c r="F249" s="661" t="inlineStr">
        <is>
          <t>F CALTIFFBLUE 788XX</t>
        </is>
      </c>
      <c r="G249" s="662" t="inlineStr">
        <is>
          <t>I</t>
        </is>
      </c>
      <c r="H249" s="664" t="n">
        <v>1002</v>
      </c>
      <c r="I249" s="665" t="n">
        <v>5.07</v>
      </c>
      <c r="L249" s="663" t="e">
        <v>#REF!</v>
      </c>
    </row>
    <row r="250">
      <c r="B250" s="659" t="n">
        <v>111163</v>
      </c>
      <c r="C250" s="661" t="inlineStr">
        <is>
          <t>2108A</t>
        </is>
      </c>
      <c r="D250" s="661" t="inlineStr">
        <is>
          <t>Qing Feng</t>
        </is>
      </c>
      <c r="E250" s="661" t="inlineStr">
        <is>
          <t>RFR</t>
        </is>
      </c>
      <c r="F250" s="661" t="inlineStr">
        <is>
          <t>F ADDISONSLATE 78801</t>
        </is>
      </c>
      <c r="G250" s="662" t="inlineStr">
        <is>
          <t>I</t>
        </is>
      </c>
      <c r="H250" s="664" t="n">
        <v>1083</v>
      </c>
      <c r="I250" s="665" t="n">
        <v>3.39</v>
      </c>
      <c r="L250" s="663" t="e">
        <v>#REF!</v>
      </c>
    </row>
    <row r="251">
      <c r="B251" s="659" t="n">
        <v>111164</v>
      </c>
      <c r="C251" s="661" t="inlineStr">
        <is>
          <t>2110A</t>
        </is>
      </c>
      <c r="D251" s="661" t="inlineStr">
        <is>
          <t>NICELINK</t>
        </is>
      </c>
      <c r="E251" s="661" t="inlineStr">
        <is>
          <t>RFRP</t>
        </is>
      </c>
      <c r="F251" s="661" t="inlineStr">
        <is>
          <t>F HACIENDAGRANITE 87903</t>
        </is>
      </c>
      <c r="G251" s="662" t="inlineStr">
        <is>
          <t>I</t>
        </is>
      </c>
      <c r="H251" s="664" t="n">
        <v>1067</v>
      </c>
      <c r="I251" s="665" t="n">
        <v>5.31</v>
      </c>
      <c r="L251" s="663" t="e">
        <v>#REF!</v>
      </c>
    </row>
    <row r="252">
      <c r="B252" s="659" t="n">
        <v>111167</v>
      </c>
      <c r="C252" s="661" t="inlineStr">
        <is>
          <t>3A</t>
        </is>
      </c>
      <c r="D252" s="661" t="inlineStr">
        <is>
          <t>Wanvog</t>
        </is>
      </c>
      <c r="E252" s="661" t="inlineStr">
        <is>
          <t>RFR</t>
        </is>
      </c>
      <c r="F252" s="661" t="inlineStr">
        <is>
          <t>F CYBERTRACK CHOCOLATE 87903</t>
        </is>
      </c>
      <c r="G252" s="662" t="inlineStr">
        <is>
          <t>I</t>
        </is>
      </c>
      <c r="H252" s="664" t="n">
        <v>1002</v>
      </c>
      <c r="I252" s="665" t="n">
        <v>3.42</v>
      </c>
      <c r="L252" s="663" t="e">
        <v>#REF!</v>
      </c>
    </row>
    <row r="253">
      <c r="B253" s="659" t="n">
        <v>111168</v>
      </c>
      <c r="C253" s="661" t="inlineStr">
        <is>
          <t>3A</t>
        </is>
      </c>
      <c r="D253" s="661" t="inlineStr">
        <is>
          <t>Wanvog</t>
        </is>
      </c>
      <c r="E253" s="661" t="inlineStr">
        <is>
          <t>RFRP</t>
        </is>
      </c>
      <c r="F253" s="661" t="inlineStr">
        <is>
          <t>F DIAMONDDRIFTWOOD 87902</t>
        </is>
      </c>
      <c r="G253" s="662" t="inlineStr">
        <is>
          <t>I</t>
        </is>
      </c>
      <c r="H253" s="664" t="n">
        <v>1067</v>
      </c>
      <c r="I253" s="665" t="n">
        <v>5.46</v>
      </c>
      <c r="L253" s="663" t="e">
        <v>#REF!</v>
      </c>
    </row>
    <row r="254">
      <c r="B254" s="659" t="n">
        <v>111169</v>
      </c>
      <c r="C254" s="661" t="inlineStr">
        <is>
          <t>3A</t>
        </is>
      </c>
      <c r="D254" s="661" t="inlineStr">
        <is>
          <t>Wanvog</t>
        </is>
      </c>
      <c r="E254" s="661" t="inlineStr">
        <is>
          <t>RFR</t>
        </is>
      </c>
      <c r="F254" s="661" t="inlineStr">
        <is>
          <t>F HERZTIO STEEL 89702</t>
        </is>
      </c>
      <c r="G254" s="662" t="inlineStr">
        <is>
          <t>I</t>
        </is>
      </c>
      <c r="H254" s="664" t="n">
        <v>1002</v>
      </c>
      <c r="I254" s="665" t="n">
        <v>3.59</v>
      </c>
      <c r="L254" s="663" t="e">
        <v>#REF!</v>
      </c>
    </row>
    <row r="255">
      <c r="B255" s="659" t="n">
        <v>111273</v>
      </c>
      <c r="C255" s="661" t="inlineStr">
        <is>
          <t>2118A</t>
        </is>
      </c>
      <c r="D255" s="661" t="inlineStr">
        <is>
          <t>LONGXIANG</t>
        </is>
      </c>
      <c r="E255" s="661" t="inlineStr">
        <is>
          <t>RFR</t>
        </is>
      </c>
      <c r="F255" s="661" t="inlineStr">
        <is>
          <t>F LEOTI(PETERMAN)COFFEE15101</t>
        </is>
      </c>
      <c r="G255" s="662" t="inlineStr">
        <is>
          <t>I</t>
        </is>
      </c>
      <c r="H255" s="664" t="n">
        <v>1002</v>
      </c>
      <c r="I255" s="665" t="n">
        <v>3.25</v>
      </c>
      <c r="L255" s="663" t="e">
        <v>#REF!</v>
      </c>
    </row>
    <row r="256">
      <c r="B256" s="659" t="n">
        <v>111274</v>
      </c>
      <c r="C256" s="661" t="inlineStr">
        <is>
          <t>2118A</t>
        </is>
      </c>
      <c r="D256" s="661" t="inlineStr">
        <is>
          <t>LONGXIANG</t>
        </is>
      </c>
      <c r="E256" s="661" t="inlineStr">
        <is>
          <t>RFR</t>
        </is>
      </c>
      <c r="F256" s="661" t="inlineStr">
        <is>
          <t>F LEOTI(PETERMAN)BURGUNDY15102</t>
        </is>
      </c>
      <c r="G256" s="662" t="inlineStr">
        <is>
          <t>I</t>
        </is>
      </c>
      <c r="H256" s="664" t="n">
        <v>1002</v>
      </c>
      <c r="I256" s="665" t="n">
        <v>3.25</v>
      </c>
      <c r="L256" s="663" t="e">
        <v>#REF!</v>
      </c>
    </row>
    <row r="257">
      <c r="B257" s="659" t="n">
        <v>111275</v>
      </c>
      <c r="C257" s="661" t="inlineStr">
        <is>
          <t>2118A</t>
        </is>
      </c>
      <c r="D257" s="661" t="inlineStr">
        <is>
          <t>LONGXIANG</t>
        </is>
      </c>
      <c r="E257" s="661" t="inlineStr">
        <is>
          <t>RFR</t>
        </is>
      </c>
      <c r="F257" s="661" t="inlineStr">
        <is>
          <t>F LEOTI(PETERMAN)NAVY15103</t>
        </is>
      </c>
      <c r="G257" s="662" t="inlineStr">
        <is>
          <t>I</t>
        </is>
      </c>
      <c r="H257" s="664" t="n">
        <v>1002</v>
      </c>
      <c r="I257" s="665" t="n">
        <v>3.25</v>
      </c>
      <c r="L257" s="663" t="e">
        <v>#REF!</v>
      </c>
    </row>
    <row r="258">
      <c r="B258" s="659" t="n">
        <v>180006</v>
      </c>
      <c r="C258" s="661" t="inlineStr">
        <is>
          <t>2106A</t>
        </is>
      </c>
      <c r="D258" s="661" t="inlineStr">
        <is>
          <t>OMNOVA</t>
        </is>
      </c>
      <c r="E258" s="661" t="inlineStr">
        <is>
          <t>RFRU</t>
        </is>
      </c>
      <c r="F258" s="661" t="inlineStr">
        <is>
          <t>V CAMMANDOLATTE 112/11413</t>
        </is>
      </c>
      <c r="G258" s="662" t="inlineStr">
        <is>
          <t>I</t>
        </is>
      </c>
      <c r="L258" s="663" t="e">
        <v>#REF!</v>
      </c>
    </row>
    <row r="259">
      <c r="B259" s="659" t="n">
        <v>180040</v>
      </c>
      <c r="C259" s="661" t="inlineStr">
        <is>
          <t>2111A</t>
        </is>
      </c>
      <c r="D259" s="661" t="inlineStr">
        <is>
          <t>BESTON</t>
        </is>
      </c>
      <c r="E259" s="661" t="inlineStr">
        <is>
          <t>RFRU</t>
        </is>
      </c>
      <c r="F259" s="661" t="inlineStr">
        <is>
          <t>V DURABLENDONYX 94200</t>
        </is>
      </c>
      <c r="G259" s="662" t="inlineStr">
        <is>
          <t>I</t>
        </is>
      </c>
      <c r="H259" s="664" t="n">
        <v>1006</v>
      </c>
      <c r="I259" s="665" t="n">
        <v>3.62</v>
      </c>
      <c r="L259" s="663" t="e">
        <v>#REF!</v>
      </c>
    </row>
    <row r="260">
      <c r="B260" s="659" t="n">
        <v>180051</v>
      </c>
      <c r="C260" s="661" t="inlineStr">
        <is>
          <t>2103A</t>
        </is>
      </c>
      <c r="D260" s="661" t="inlineStr">
        <is>
          <t>HEXIN</t>
        </is>
      </c>
      <c r="E260" s="661" t="inlineStr">
        <is>
          <t>RFRU</t>
        </is>
      </c>
      <c r="F260" s="661" t="inlineStr">
        <is>
          <t>V DURABLENDBARK 91700/94202</t>
        </is>
      </c>
      <c r="G260" s="662" t="inlineStr">
        <is>
          <t>I</t>
        </is>
      </c>
      <c r="H260" s="664" t="n">
        <v>1035</v>
      </c>
      <c r="I260" s="665" t="n">
        <v>4.65</v>
      </c>
      <c r="L260" s="663" t="e">
        <v>#REF!</v>
      </c>
    </row>
    <row r="261">
      <c r="B261" s="659" t="n">
        <v>180063</v>
      </c>
      <c r="C261" s="661" t="inlineStr">
        <is>
          <t>2103A</t>
        </is>
      </c>
      <c r="D261" s="661" t="inlineStr">
        <is>
          <t>HEXIN</t>
        </is>
      </c>
      <c r="E261" s="661" t="inlineStr">
        <is>
          <t>RFRU</t>
        </is>
      </c>
      <c r="F261" s="661" t="inlineStr">
        <is>
          <t>V DURABLENDANTIQUE 21300/99200</t>
        </is>
      </c>
      <c r="G261" s="662" t="inlineStr">
        <is>
          <t>I</t>
        </is>
      </c>
      <c r="H261" s="664" t="n">
        <v>1035</v>
      </c>
      <c r="I261" s="665" t="n">
        <v>5.01</v>
      </c>
      <c r="L261" s="663" t="e">
        <v>#REF!</v>
      </c>
    </row>
    <row r="262">
      <c r="B262" s="659" t="n">
        <v>180064</v>
      </c>
      <c r="C262" s="661" t="inlineStr">
        <is>
          <t>2103A</t>
        </is>
      </c>
      <c r="D262" s="661" t="inlineStr">
        <is>
          <t>HEXIN</t>
        </is>
      </c>
      <c r="E262" s="661" t="inlineStr">
        <is>
          <t>RFRU</t>
        </is>
      </c>
      <c r="F262" s="661" t="inlineStr">
        <is>
          <t>V VINYLANTIQUE 21300/99200</t>
        </is>
      </c>
      <c r="G262" s="662" t="inlineStr">
        <is>
          <t>I</t>
        </is>
      </c>
      <c r="H262" s="664" t="n">
        <v>1035</v>
      </c>
      <c r="I262" s="665" t="n">
        <v>3.76</v>
      </c>
      <c r="L262" s="663" t="e">
        <v>#REF!</v>
      </c>
    </row>
    <row r="263">
      <c r="B263" s="659" t="n">
        <v>180065</v>
      </c>
      <c r="C263" s="661" t="inlineStr">
        <is>
          <t>2120A</t>
        </is>
      </c>
      <c r="D263" s="661" t="inlineStr">
        <is>
          <t>ANLI</t>
        </is>
      </c>
      <c r="E263" s="661" t="inlineStr">
        <is>
          <t>RFRU</t>
        </is>
      </c>
      <c r="F263" s="661" t="inlineStr">
        <is>
          <t>V DURABLENDCAFE 22200/98800</t>
        </is>
      </c>
      <c r="G263" s="662" t="inlineStr">
        <is>
          <t>I</t>
        </is>
      </c>
      <c r="H263" s="664" t="n">
        <v>1035</v>
      </c>
      <c r="I263" s="665" t="n">
        <v>4.62</v>
      </c>
      <c r="L263" s="663" t="e">
        <v>#REF!</v>
      </c>
    </row>
    <row r="264">
      <c r="B264" s="659" t="n">
        <v>180066</v>
      </c>
      <c r="C264" s="661" t="inlineStr">
        <is>
          <t>2120A</t>
        </is>
      </c>
      <c r="D264" s="661" t="inlineStr">
        <is>
          <t>ANLI</t>
        </is>
      </c>
      <c r="E264" s="661" t="inlineStr">
        <is>
          <t>RFRU</t>
        </is>
      </c>
      <c r="F264" s="661" t="inlineStr">
        <is>
          <t>V VINYLCAFE 22200/98800</t>
        </is>
      </c>
      <c r="G264" s="662" t="inlineStr">
        <is>
          <t>I</t>
        </is>
      </c>
      <c r="H264" s="664" t="n">
        <v>1006</v>
      </c>
      <c r="I264" s="665" t="n">
        <v>3.35</v>
      </c>
      <c r="L264" s="663" t="e">
        <v>#REF!</v>
      </c>
    </row>
    <row r="265">
      <c r="B265" s="659" t="n">
        <v>180067</v>
      </c>
      <c r="C265" s="661" t="inlineStr">
        <is>
          <t>2115A</t>
        </is>
      </c>
      <c r="D265" s="661" t="inlineStr">
        <is>
          <t>KANG DA</t>
        </is>
      </c>
      <c r="E265" s="661" t="inlineStr">
        <is>
          <t>RFRU</t>
        </is>
      </c>
      <c r="F265" s="661" t="inlineStr">
        <is>
          <t>V DURABLENDTAUPE 94203</t>
        </is>
      </c>
      <c r="G265" s="662" t="inlineStr">
        <is>
          <t>I</t>
        </is>
      </c>
      <c r="L265" s="663" t="e">
        <v>#REF!</v>
      </c>
    </row>
    <row r="266">
      <c r="B266" s="659" t="n">
        <v>180068</v>
      </c>
      <c r="C266" s="661" t="inlineStr">
        <is>
          <t>2115A</t>
        </is>
      </c>
      <c r="D266" s="661" t="inlineStr">
        <is>
          <t>KANG DA</t>
        </is>
      </c>
      <c r="E266" s="661" t="inlineStr">
        <is>
          <t>RFRU</t>
        </is>
      </c>
      <c r="F266" s="661" t="inlineStr">
        <is>
          <t>V VINYLTAUPE 94203</t>
        </is>
      </c>
      <c r="G266" s="662" t="inlineStr">
        <is>
          <t>I</t>
        </is>
      </c>
      <c r="L266" s="663" t="e">
        <v>#REF!</v>
      </c>
    </row>
    <row r="267">
      <c r="B267" s="659" t="n">
        <v>180070</v>
      </c>
      <c r="C267" s="661" t="inlineStr">
        <is>
          <t>2107A</t>
        </is>
      </c>
      <c r="D267" s="661" t="inlineStr">
        <is>
          <t>DONG TAI</t>
        </is>
      </c>
      <c r="E267" s="661" t="inlineStr">
        <is>
          <t>RFRU</t>
        </is>
      </c>
      <c r="F267" s="661" t="inlineStr">
        <is>
          <t>V DURABLENDBLACK 976/237/24200</t>
        </is>
      </c>
      <c r="G267" s="662" t="inlineStr">
        <is>
          <t>I</t>
        </is>
      </c>
      <c r="H267" s="664" t="n">
        <v>1035</v>
      </c>
      <c r="I267" s="665" t="n">
        <v>5.19</v>
      </c>
      <c r="L267" s="663" t="e">
        <v>#REF!</v>
      </c>
    </row>
    <row r="268">
      <c r="B268" s="659" t="n">
        <v>180071</v>
      </c>
      <c r="C268" s="661" t="inlineStr">
        <is>
          <t>2107A</t>
        </is>
      </c>
      <c r="D268" s="661" t="inlineStr">
        <is>
          <t>DONG TAI</t>
        </is>
      </c>
      <c r="E268" s="661" t="inlineStr">
        <is>
          <t>RFRU</t>
        </is>
      </c>
      <c r="F268" s="661" t="inlineStr">
        <is>
          <t>V VINYLBLACK 976/237/24200</t>
        </is>
      </c>
      <c r="G268" s="662" t="inlineStr">
        <is>
          <t>I</t>
        </is>
      </c>
      <c r="H268" s="664" t="n">
        <v>1035</v>
      </c>
      <c r="I268" s="665" t="n">
        <v>3.92</v>
      </c>
      <c r="L268" s="663" t="e">
        <v>#REF!</v>
      </c>
    </row>
    <row r="269">
      <c r="B269" s="659" t="n">
        <v>180072</v>
      </c>
      <c r="C269" s="661" t="inlineStr">
        <is>
          <t>2103A</t>
        </is>
      </c>
      <c r="D269" s="661" t="inlineStr">
        <is>
          <t>HEXIN</t>
        </is>
      </c>
      <c r="E269" s="661" t="inlineStr">
        <is>
          <t>RFRU</t>
        </is>
      </c>
      <c r="F269" s="661" t="inlineStr">
        <is>
          <t>V DURABLENDSIENNA 23701/94000</t>
        </is>
      </c>
      <c r="G269" s="662" t="inlineStr">
        <is>
          <t>I</t>
        </is>
      </c>
      <c r="H269" s="664" t="n">
        <v>1035</v>
      </c>
      <c r="I269" s="665" t="n">
        <v>5.01</v>
      </c>
      <c r="L269" s="663" t="e">
        <v>#REF!</v>
      </c>
    </row>
    <row r="270">
      <c r="B270" s="659" t="n">
        <v>180073</v>
      </c>
      <c r="C270" s="661" t="inlineStr">
        <is>
          <t>2103A</t>
        </is>
      </c>
      <c r="D270" s="661" t="inlineStr">
        <is>
          <t>HEXIN</t>
        </is>
      </c>
      <c r="E270" s="661" t="inlineStr">
        <is>
          <t>RFRU</t>
        </is>
      </c>
      <c r="F270" s="661" t="inlineStr">
        <is>
          <t>V VINYLSIENNA 23701/94000</t>
        </is>
      </c>
      <c r="G270" s="662" t="inlineStr">
        <is>
          <t>I</t>
        </is>
      </c>
      <c r="H270" s="664" t="n">
        <v>1006</v>
      </c>
      <c r="I270" s="665" t="n">
        <v>4.46</v>
      </c>
      <c r="L270" s="663" t="e">
        <v>#REF!</v>
      </c>
    </row>
    <row r="271">
      <c r="B271" s="659" t="n">
        <v>180075</v>
      </c>
      <c r="C271" s="661" t="inlineStr">
        <is>
          <t>2120A</t>
        </is>
      </c>
      <c r="D271" s="661" t="inlineStr">
        <is>
          <t>ANLI</t>
        </is>
      </c>
      <c r="E271" s="661" t="inlineStr">
        <is>
          <t>RFRU</t>
        </is>
      </c>
      <c r="F271" s="661" t="inlineStr">
        <is>
          <t>V DURABLENDSCARLETT92701/94601</t>
        </is>
      </c>
      <c r="G271" s="662" t="inlineStr">
        <is>
          <t>I</t>
        </is>
      </c>
      <c r="H271" s="664" t="n">
        <v>1035</v>
      </c>
      <c r="I271" s="665" t="n">
        <v>4.58</v>
      </c>
      <c r="L271" s="663" t="e">
        <v>#REF!</v>
      </c>
    </row>
    <row r="272">
      <c r="B272" s="659" t="n">
        <v>180076</v>
      </c>
      <c r="C272" s="661" t="inlineStr">
        <is>
          <t>2120A</t>
        </is>
      </c>
      <c r="D272" s="661" t="inlineStr">
        <is>
          <t>ANLI</t>
        </is>
      </c>
      <c r="E272" s="661" t="inlineStr">
        <is>
          <t>RFRU</t>
        </is>
      </c>
      <c r="F272" s="661" t="inlineStr">
        <is>
          <t>V VINYLSCARLETT 92701/94601</t>
        </is>
      </c>
      <c r="G272" s="662" t="inlineStr">
        <is>
          <t>I</t>
        </is>
      </c>
      <c r="H272" s="664" t="n">
        <v>1006</v>
      </c>
      <c r="I272" s="665" t="n">
        <v>3.34</v>
      </c>
      <c r="L272" s="663" t="e">
        <v>#REF!</v>
      </c>
    </row>
    <row r="273">
      <c r="B273" s="659" t="n">
        <v>180077</v>
      </c>
      <c r="C273" s="661" t="inlineStr">
        <is>
          <t>2103A</t>
        </is>
      </c>
      <c r="D273" s="661" t="inlineStr">
        <is>
          <t>HEXIN</t>
        </is>
      </c>
      <c r="E273" s="661" t="inlineStr">
        <is>
          <t>RFRU</t>
        </is>
      </c>
      <c r="F273" s="661" t="inlineStr">
        <is>
          <t>V DURABLENDIVORY 92702/94602</t>
        </is>
      </c>
      <c r="G273" s="662" t="inlineStr">
        <is>
          <t>I</t>
        </is>
      </c>
      <c r="H273" s="664" t="n">
        <v>1035</v>
      </c>
      <c r="I273" s="665" t="n">
        <v>5.79</v>
      </c>
      <c r="L273" s="663" t="e">
        <v>#REF!</v>
      </c>
    </row>
    <row r="274">
      <c r="B274" s="659" t="n">
        <v>180078</v>
      </c>
      <c r="C274" s="661" t="inlineStr">
        <is>
          <t>2103A</t>
        </is>
      </c>
      <c r="D274" s="661" t="inlineStr">
        <is>
          <t>HEXIN</t>
        </is>
      </c>
      <c r="E274" s="661" t="inlineStr">
        <is>
          <t>RFRU</t>
        </is>
      </c>
      <c r="F274" s="661" t="inlineStr">
        <is>
          <t>V VINYLIVORY 92702/94602</t>
        </is>
      </c>
      <c r="G274" s="662" t="inlineStr">
        <is>
          <t>I</t>
        </is>
      </c>
      <c r="H274" s="664" t="n">
        <v>1006</v>
      </c>
      <c r="I274" s="665" t="n">
        <v>4.49</v>
      </c>
      <c r="L274" s="663" t="e">
        <v>#REF!</v>
      </c>
    </row>
    <row r="275">
      <c r="B275" s="659" t="n">
        <v>180079</v>
      </c>
      <c r="C275" s="661" t="inlineStr">
        <is>
          <t>2115A</t>
        </is>
      </c>
      <c r="D275" s="661" t="inlineStr">
        <is>
          <t>KANG DA</t>
        </is>
      </c>
      <c r="E275" s="661" t="inlineStr">
        <is>
          <t>RFRU</t>
        </is>
      </c>
      <c r="F275" s="661" t="inlineStr">
        <is>
          <t>V DURABLENDCHOCOLATE 927/94603</t>
        </is>
      </c>
      <c r="G275" s="662" t="inlineStr">
        <is>
          <t>I</t>
        </is>
      </c>
      <c r="H275" s="664" t="n">
        <v>1035</v>
      </c>
      <c r="I275" s="665" t="n">
        <v>4.59</v>
      </c>
      <c r="L275" s="663" t="e">
        <v>#REF!</v>
      </c>
    </row>
    <row r="276">
      <c r="B276" s="659" t="n">
        <v>180080</v>
      </c>
      <c r="C276" s="661" t="inlineStr">
        <is>
          <t>2115A</t>
        </is>
      </c>
      <c r="D276" s="661" t="inlineStr">
        <is>
          <t>KANG DA</t>
        </is>
      </c>
      <c r="E276" s="661" t="inlineStr">
        <is>
          <t>RFRU</t>
        </is>
      </c>
      <c r="F276" s="661" t="inlineStr">
        <is>
          <t>V VINYLCHOCOLATE 92703/94603</t>
        </is>
      </c>
      <c r="G276" s="662" t="inlineStr">
        <is>
          <t>I</t>
        </is>
      </c>
      <c r="H276" s="664" t="n">
        <v>1006</v>
      </c>
      <c r="I276" s="665" t="n">
        <v>4.07</v>
      </c>
      <c r="L276" s="663" t="e">
        <v>#REF!</v>
      </c>
    </row>
    <row r="277">
      <c r="B277" s="659" t="n">
        <v>180082</v>
      </c>
      <c r="C277" s="661" t="inlineStr">
        <is>
          <t>2115A</t>
        </is>
      </c>
      <c r="D277" s="661" t="inlineStr">
        <is>
          <t>KANG DA</t>
        </is>
      </c>
      <c r="E277" s="661" t="inlineStr">
        <is>
          <t>RFRU</t>
        </is>
      </c>
      <c r="F277" s="675" t="inlineStr">
        <is>
          <t xml:space="preserve">V MARLO MAHOGANY59401/50300 </t>
        </is>
      </c>
      <c r="G277" s="662" t="inlineStr">
        <is>
          <t>I</t>
        </is>
      </c>
      <c r="H277" s="664" t="n">
        <v>1035</v>
      </c>
      <c r="I277" s="665" t="n">
        <v>3.35</v>
      </c>
      <c r="L277" s="663" t="e">
        <v>#REF!</v>
      </c>
    </row>
    <row r="278">
      <c r="B278" s="659" t="n">
        <v>180084</v>
      </c>
      <c r="C278" s="661" t="inlineStr">
        <is>
          <t>2115A</t>
        </is>
      </c>
      <c r="D278" s="661" t="inlineStr">
        <is>
          <t>KANG DA</t>
        </is>
      </c>
      <c r="E278" s="661" t="inlineStr">
        <is>
          <t>RFRU</t>
        </is>
      </c>
      <c r="F278" s="661" t="inlineStr">
        <is>
          <t>V DURABLENDMAHOGANY 44800</t>
        </is>
      </c>
      <c r="G278" s="662" t="inlineStr">
        <is>
          <t>I</t>
        </is>
      </c>
      <c r="H278" s="664" t="n">
        <v>1035</v>
      </c>
      <c r="I278" s="665" t="n">
        <v>4.59</v>
      </c>
      <c r="L278" s="663" t="e">
        <v>#REF!</v>
      </c>
    </row>
    <row r="279">
      <c r="B279" s="659" t="n">
        <v>180086</v>
      </c>
      <c r="C279" s="661" t="inlineStr">
        <is>
          <t>2117A</t>
        </is>
      </c>
      <c r="D279" s="661" t="inlineStr">
        <is>
          <t>FENGRUN</t>
        </is>
      </c>
      <c r="E279" s="661" t="inlineStr">
        <is>
          <t>RFRU</t>
        </is>
      </c>
      <c r="F279" s="661" t="inlineStr">
        <is>
          <t>V DURABLENDBRINDLE 468/45100</t>
        </is>
      </c>
      <c r="G279" s="662" t="inlineStr">
        <is>
          <t>I</t>
        </is>
      </c>
      <c r="H279" s="664" t="n">
        <v>1035</v>
      </c>
      <c r="I279" s="665" t="n">
        <v>4.84</v>
      </c>
      <c r="L279" s="663" t="e">
        <v>#REF!</v>
      </c>
    </row>
    <row r="280">
      <c r="B280" s="659" t="n">
        <v>180087</v>
      </c>
      <c r="C280" s="661" t="inlineStr">
        <is>
          <t>2117A</t>
        </is>
      </c>
      <c r="D280" s="661" t="inlineStr">
        <is>
          <t>FENGRUN</t>
        </is>
      </c>
      <c r="E280" s="661" t="inlineStr">
        <is>
          <t>RFRU</t>
        </is>
      </c>
      <c r="F280" s="661" t="inlineStr">
        <is>
          <t>V VINYLBRINDLE 468/45100</t>
        </is>
      </c>
      <c r="G280" s="662" t="inlineStr">
        <is>
          <t>I</t>
        </is>
      </c>
      <c r="H280" s="664" t="n">
        <v>1035</v>
      </c>
      <c r="I280" s="665" t="n">
        <v>3.6</v>
      </c>
      <c r="L280" s="663" t="e">
        <v>#REF!</v>
      </c>
    </row>
    <row r="281">
      <c r="B281" s="659" t="n">
        <v>180097</v>
      </c>
      <c r="C281" s="661" t="inlineStr">
        <is>
          <t>2107A</t>
        </is>
      </c>
      <c r="D281" s="661" t="inlineStr">
        <is>
          <t>DONG TAI</t>
        </is>
      </c>
      <c r="E281" s="661" t="inlineStr">
        <is>
          <t>RFRU</t>
        </is>
      </c>
      <c r="F281" s="661" t="inlineStr">
        <is>
          <t>V DURABLENDBARK15003</t>
        </is>
      </c>
      <c r="G281" s="662" t="inlineStr">
        <is>
          <t>I</t>
        </is>
      </c>
      <c r="H281" s="664" t="n">
        <v>1035</v>
      </c>
      <c r="L281" s="663" t="e">
        <v>#REF!</v>
      </c>
    </row>
    <row r="282">
      <c r="B282" s="659" t="n">
        <v>180098</v>
      </c>
      <c r="C282" s="661" t="inlineStr">
        <is>
          <t>2107A</t>
        </is>
      </c>
      <c r="D282" s="661" t="inlineStr">
        <is>
          <t>DONG TAI</t>
        </is>
      </c>
      <c r="E282" s="661" t="inlineStr">
        <is>
          <t>RFRU</t>
        </is>
      </c>
      <c r="F282" s="661" t="inlineStr">
        <is>
          <t>V VINYLBARK15003</t>
        </is>
      </c>
      <c r="G282" s="662" t="inlineStr">
        <is>
          <t>I</t>
        </is>
      </c>
      <c r="H282" s="664" t="n">
        <v>1006</v>
      </c>
      <c r="I282" s="665" t="n">
        <v>3.17</v>
      </c>
      <c r="L282" s="663" t="e">
        <v>#REF!</v>
      </c>
    </row>
    <row r="283">
      <c r="B283" s="659" t="n">
        <v>180099</v>
      </c>
      <c r="C283" s="661" t="inlineStr">
        <is>
          <t>2107A</t>
        </is>
      </c>
      <c r="D283" s="661" t="inlineStr">
        <is>
          <t>DONG TAI</t>
        </is>
      </c>
      <c r="E283" s="661" t="inlineStr">
        <is>
          <t>RFRU</t>
        </is>
      </c>
      <c r="F283" s="661" t="inlineStr">
        <is>
          <t>V DURABLENDIVORY15002</t>
        </is>
      </c>
      <c r="G283" s="662" t="inlineStr">
        <is>
          <t>I</t>
        </is>
      </c>
      <c r="H283" s="664" t="n">
        <v>1035</v>
      </c>
      <c r="L283" s="663" t="e">
        <v>#REF!</v>
      </c>
    </row>
    <row r="284">
      <c r="B284" s="659" t="n">
        <v>180100</v>
      </c>
      <c r="C284" s="661" t="inlineStr">
        <is>
          <t>2107A</t>
        </is>
      </c>
      <c r="D284" s="661" t="inlineStr">
        <is>
          <t>DONG TAI</t>
        </is>
      </c>
      <c r="E284" s="661" t="inlineStr">
        <is>
          <t>RFRU</t>
        </is>
      </c>
      <c r="F284" s="661" t="inlineStr">
        <is>
          <t>V VINYLIVORY15002</t>
        </is>
      </c>
      <c r="G284" s="662" t="inlineStr">
        <is>
          <t>I</t>
        </is>
      </c>
      <c r="H284" s="664" t="n">
        <v>1006</v>
      </c>
      <c r="L284" s="663" t="e">
        <v>#REF!</v>
      </c>
    </row>
    <row r="285">
      <c r="B285" s="659" t="n">
        <v>180101</v>
      </c>
      <c r="C285" s="661" t="inlineStr">
        <is>
          <t>2107A</t>
        </is>
      </c>
      <c r="D285" s="661" t="inlineStr">
        <is>
          <t>DONG TAI</t>
        </is>
      </c>
      <c r="E285" s="661" t="inlineStr">
        <is>
          <t>RFRU</t>
        </is>
      </c>
      <c r="F285" s="661" t="inlineStr">
        <is>
          <t>V DURABLENDCHOCOLATE15001</t>
        </is>
      </c>
      <c r="G285" s="662" t="inlineStr">
        <is>
          <t>I</t>
        </is>
      </c>
      <c r="H285" s="664" t="n">
        <v>1035</v>
      </c>
      <c r="I285" s="665" t="n">
        <v>4.37</v>
      </c>
      <c r="L285" s="663" t="e">
        <v>#REF!</v>
      </c>
    </row>
    <row r="286">
      <c r="B286" s="659" t="n">
        <v>180105</v>
      </c>
      <c r="C286" s="661" t="inlineStr">
        <is>
          <t>2106A</t>
        </is>
      </c>
      <c r="D286" s="661" t="inlineStr">
        <is>
          <t>OMNOVA</t>
        </is>
      </c>
      <c r="E286" s="661" t="inlineStr">
        <is>
          <t>RFRU</t>
        </is>
      </c>
      <c r="F286" s="661" t="inlineStr">
        <is>
          <t>V DURABLENDESPRESSO86001</t>
        </is>
      </c>
      <c r="G286" s="662" t="inlineStr">
        <is>
          <t>I</t>
        </is>
      </c>
      <c r="H286" s="664" t="n">
        <v>1035</v>
      </c>
      <c r="I286" s="665" t="n">
        <v>3.94</v>
      </c>
      <c r="L286" s="663" t="e">
        <v>#REF!</v>
      </c>
    </row>
    <row r="287">
      <c r="B287" s="659" t="n">
        <v>180106</v>
      </c>
      <c r="C287" s="661" t="inlineStr">
        <is>
          <t>2106A</t>
        </is>
      </c>
      <c r="D287" s="661" t="inlineStr">
        <is>
          <t>OMNOVA</t>
        </is>
      </c>
      <c r="E287" s="661" t="inlineStr">
        <is>
          <t>RFRU</t>
        </is>
      </c>
      <c r="F287" s="661" t="inlineStr">
        <is>
          <t>V VINYLSADDLE86001</t>
        </is>
      </c>
      <c r="G287" s="662" t="inlineStr">
        <is>
          <t>I</t>
        </is>
      </c>
      <c r="H287" s="664" t="n">
        <v>1006</v>
      </c>
      <c r="I287" s="665" t="n">
        <v>2.59</v>
      </c>
      <c r="L287" s="663" t="e">
        <v>#REF!</v>
      </c>
    </row>
    <row r="288">
      <c r="B288" s="659" t="n">
        <v>180114</v>
      </c>
      <c r="C288" s="661" t="inlineStr">
        <is>
          <t>2103A</t>
        </is>
      </c>
      <c r="D288" s="661" t="inlineStr">
        <is>
          <t>HEXIN</t>
        </is>
      </c>
      <c r="E288" s="661" t="inlineStr">
        <is>
          <t>RFRU</t>
        </is>
      </c>
      <c r="F288" s="661" t="inlineStr">
        <is>
          <t>V DURABLENDDESERT 40501</t>
        </is>
      </c>
      <c r="G288" s="662" t="inlineStr">
        <is>
          <t>I</t>
        </is>
      </c>
      <c r="H288" s="664" t="n">
        <v>1035</v>
      </c>
      <c r="I288" s="665" t="n">
        <v>5.38</v>
      </c>
      <c r="L288" s="663" t="e">
        <v>#REF!</v>
      </c>
    </row>
    <row r="289">
      <c r="B289" s="659" t="n">
        <v>180115</v>
      </c>
      <c r="C289" s="661" t="inlineStr">
        <is>
          <t>2103A</t>
        </is>
      </c>
      <c r="D289" s="661" t="inlineStr">
        <is>
          <t>HEXIN</t>
        </is>
      </c>
      <c r="E289" s="661" t="inlineStr">
        <is>
          <t>RFRU</t>
        </is>
      </c>
      <c r="F289" s="661" t="inlineStr">
        <is>
          <t>V VINYLDESERT 40501</t>
        </is>
      </c>
      <c r="G289" s="662" t="inlineStr">
        <is>
          <t>I</t>
        </is>
      </c>
      <c r="H289" s="664" t="n">
        <v>1006</v>
      </c>
      <c r="I289" s="665" t="n">
        <v>4.11</v>
      </c>
      <c r="L289" s="663" t="e">
        <v>#REF!</v>
      </c>
    </row>
    <row r="290">
      <c r="B290" s="659" t="n">
        <v>180116</v>
      </c>
      <c r="C290" s="661" t="inlineStr">
        <is>
          <t>2118A</t>
        </is>
      </c>
      <c r="D290" s="661" t="inlineStr">
        <is>
          <t>LONGXIANG</t>
        </is>
      </c>
      <c r="E290" s="661" t="inlineStr">
        <is>
          <t>RFRU</t>
        </is>
      </c>
      <c r="F290" s="661" t="inlineStr">
        <is>
          <t>V DURABLENDREDWOOD 40900/42601</t>
        </is>
      </c>
      <c r="G290" s="662" t="inlineStr">
        <is>
          <t>I</t>
        </is>
      </c>
      <c r="H290" s="664" t="n">
        <v>1035</v>
      </c>
      <c r="I290" s="665" t="n">
        <v>5.2</v>
      </c>
      <c r="L290" s="663" t="e">
        <v>#REF!</v>
      </c>
    </row>
    <row r="291">
      <c r="B291" s="659" t="n">
        <v>180117</v>
      </c>
      <c r="C291" s="661" t="inlineStr">
        <is>
          <t>2118A</t>
        </is>
      </c>
      <c r="D291" s="661" t="inlineStr">
        <is>
          <t>LONGXIANG</t>
        </is>
      </c>
      <c r="E291" s="661" t="inlineStr">
        <is>
          <t>RFRU</t>
        </is>
      </c>
      <c r="F291" s="661" t="inlineStr">
        <is>
          <t>V VINYLREDWOOD 40900/42601</t>
        </is>
      </c>
      <c r="G291" s="662" t="inlineStr">
        <is>
          <t>I</t>
        </is>
      </c>
      <c r="H291" s="664" t="n">
        <v>1035</v>
      </c>
      <c r="I291" s="665" t="n">
        <v>3.92</v>
      </c>
      <c r="L291" s="663" t="e">
        <v>#REF!</v>
      </c>
    </row>
    <row r="292">
      <c r="B292" s="659" t="n">
        <v>180130</v>
      </c>
      <c r="C292" s="661" t="inlineStr">
        <is>
          <t>2120A</t>
        </is>
      </c>
      <c r="D292" s="661" t="inlineStr">
        <is>
          <t>ANLI</t>
        </is>
      </c>
      <c r="E292" s="661" t="inlineStr">
        <is>
          <t>RFRU</t>
        </is>
      </c>
      <c r="F292" s="661" t="inlineStr">
        <is>
          <t>V DURABLENDANTIQUE 96300</t>
        </is>
      </c>
      <c r="G292" s="662" t="inlineStr">
        <is>
          <t>I</t>
        </is>
      </c>
      <c r="H292" s="664" t="n">
        <v>1035</v>
      </c>
      <c r="I292" s="665" t="n">
        <v>4.48</v>
      </c>
      <c r="L292" s="663" t="e">
        <v>#REF!</v>
      </c>
    </row>
    <row r="293">
      <c r="B293" s="659" t="n">
        <v>180131</v>
      </c>
      <c r="C293" s="661" t="inlineStr">
        <is>
          <t>2120A</t>
        </is>
      </c>
      <c r="D293" s="661" t="inlineStr">
        <is>
          <t>ANLI</t>
        </is>
      </c>
      <c r="E293" s="661" t="inlineStr">
        <is>
          <t>RFRU</t>
        </is>
      </c>
      <c r="F293" s="661" t="inlineStr">
        <is>
          <t>V VINYLANTIQUE 96300</t>
        </is>
      </c>
      <c r="G293" s="662" t="inlineStr">
        <is>
          <t>I</t>
        </is>
      </c>
      <c r="H293" s="664" t="n">
        <v>1006</v>
      </c>
      <c r="I293" s="665" t="n">
        <v>3.21</v>
      </c>
      <c r="L293" s="663" t="e">
        <v>#REF!</v>
      </c>
    </row>
    <row r="294">
      <c r="B294" s="659" t="n">
        <v>180138</v>
      </c>
      <c r="C294" s="661" t="inlineStr">
        <is>
          <t>2107A</t>
        </is>
      </c>
      <c r="D294" s="661" t="inlineStr">
        <is>
          <t>DONG TAI</t>
        </is>
      </c>
      <c r="E294" s="661" t="inlineStr">
        <is>
          <t>RFRU</t>
        </is>
      </c>
      <c r="F294" s="661" t="inlineStr">
        <is>
          <t>V DURABLEND GARNET 76100</t>
        </is>
      </c>
      <c r="G294" s="662" t="inlineStr">
        <is>
          <t>I</t>
        </is>
      </c>
      <c r="H294" s="664" t="n">
        <v>1035</v>
      </c>
      <c r="I294" s="665" t="n">
        <v>4.58</v>
      </c>
      <c r="L294" s="663" t="e">
        <v>#REF!</v>
      </c>
    </row>
    <row r="295">
      <c r="B295" s="659" t="n">
        <v>180139</v>
      </c>
      <c r="C295" s="661" t="inlineStr">
        <is>
          <t>2107A</t>
        </is>
      </c>
      <c r="D295" s="661" t="inlineStr">
        <is>
          <t>DONG TAI</t>
        </is>
      </c>
      <c r="E295" s="661" t="inlineStr">
        <is>
          <t>RFRU</t>
        </is>
      </c>
      <c r="F295" s="661" t="inlineStr">
        <is>
          <t>V VINYL GARNET 76100</t>
        </is>
      </c>
      <c r="G295" s="662" t="inlineStr">
        <is>
          <t>I</t>
        </is>
      </c>
      <c r="H295" s="664" t="n">
        <v>1035</v>
      </c>
      <c r="I295" s="665" t="n">
        <v>3.31</v>
      </c>
      <c r="L295" s="663" t="e">
        <v>#REF!</v>
      </c>
    </row>
    <row r="296">
      <c r="B296" s="659" t="n">
        <v>180140</v>
      </c>
      <c r="C296" s="661" t="inlineStr">
        <is>
          <t>2107A</t>
        </is>
      </c>
      <c r="D296" s="661" t="inlineStr">
        <is>
          <t>DONG TAI</t>
        </is>
      </c>
      <c r="E296" s="661" t="inlineStr">
        <is>
          <t>RFRU</t>
        </is>
      </c>
      <c r="F296" s="661" t="inlineStr">
        <is>
          <t>V DURABLEND SLATE 76102</t>
        </is>
      </c>
      <c r="G296" s="662" t="inlineStr">
        <is>
          <t>I</t>
        </is>
      </c>
      <c r="H296" s="664" t="n">
        <v>1035</v>
      </c>
      <c r="I296" s="665" t="n">
        <v>4.51</v>
      </c>
      <c r="L296" s="663" t="e">
        <v>#REF!</v>
      </c>
    </row>
    <row r="297">
      <c r="B297" s="659" t="n">
        <v>180141</v>
      </c>
      <c r="C297" s="661" t="inlineStr">
        <is>
          <t>2107A</t>
        </is>
      </c>
      <c r="D297" s="661" t="inlineStr">
        <is>
          <t>DONG TAI</t>
        </is>
      </c>
      <c r="E297" s="661" t="inlineStr">
        <is>
          <t>RFRU</t>
        </is>
      </c>
      <c r="F297" s="661" t="inlineStr">
        <is>
          <t>V VINYL SLATE 76102</t>
        </is>
      </c>
      <c r="G297" s="662" t="inlineStr">
        <is>
          <t>I</t>
        </is>
      </c>
      <c r="H297" s="664" t="n">
        <v>1035</v>
      </c>
      <c r="I297" s="665" t="n">
        <v>3.24</v>
      </c>
      <c r="L297" s="663" t="e">
        <v>#REF!</v>
      </c>
    </row>
    <row r="298">
      <c r="B298" s="659" t="n">
        <v>180142</v>
      </c>
      <c r="C298" s="661" t="inlineStr">
        <is>
          <t>2117A</t>
        </is>
      </c>
      <c r="D298" s="661" t="inlineStr">
        <is>
          <t>FENGRUN</t>
        </is>
      </c>
      <c r="E298" s="661" t="inlineStr">
        <is>
          <t>RFRU</t>
        </is>
      </c>
      <c r="F298" s="661" t="inlineStr">
        <is>
          <t>F GAMBLER DURABLENDSEDONA73203</t>
        </is>
      </c>
      <c r="G298" s="662" t="inlineStr">
        <is>
          <t>I</t>
        </is>
      </c>
      <c r="H298" s="664" t="n">
        <v>1035</v>
      </c>
      <c r="I298" s="665" t="n">
        <v>4.73</v>
      </c>
      <c r="L298" s="663" t="e">
        <v>#REF!</v>
      </c>
    </row>
    <row r="299">
      <c r="B299" s="659" t="n">
        <v>180143</v>
      </c>
      <c r="C299" s="661" t="inlineStr">
        <is>
          <t>2117A</t>
        </is>
      </c>
      <c r="D299" s="661" t="inlineStr">
        <is>
          <t>FENGRUN</t>
        </is>
      </c>
      <c r="E299" s="661" t="inlineStr">
        <is>
          <t>RFRU</t>
        </is>
      </c>
      <c r="F299" s="661" t="inlineStr">
        <is>
          <t>V VINYLSEDONA73203</t>
        </is>
      </c>
      <c r="G299" s="662" t="inlineStr">
        <is>
          <t>I</t>
        </is>
      </c>
      <c r="H299" s="664" t="n">
        <v>1035</v>
      </c>
      <c r="I299" s="665" t="n">
        <v>3.49</v>
      </c>
      <c r="L299" s="663" t="e">
        <v>#REF!</v>
      </c>
    </row>
    <row r="300">
      <c r="B300" s="659" t="n">
        <v>180144</v>
      </c>
      <c r="C300" s="661" t="inlineStr">
        <is>
          <t>2118A</t>
        </is>
      </c>
      <c r="D300" s="661" t="inlineStr">
        <is>
          <t>LONGXIANG</t>
        </is>
      </c>
      <c r="E300" s="661" t="inlineStr">
        <is>
          <t>RFRU</t>
        </is>
      </c>
      <c r="F300" s="661" t="inlineStr">
        <is>
          <t>F GAMBLERDURABLENDBURGUNDY7320</t>
        </is>
      </c>
      <c r="G300" s="662" t="inlineStr">
        <is>
          <t>I</t>
        </is>
      </c>
      <c r="H300" s="664" t="n">
        <v>1035</v>
      </c>
      <c r="I300" s="665" t="n">
        <v>4.13</v>
      </c>
      <c r="L300" s="663" t="e">
        <v>#REF!</v>
      </c>
    </row>
    <row r="301">
      <c r="B301" s="659" t="n">
        <v>180145</v>
      </c>
      <c r="C301" s="661" t="inlineStr">
        <is>
          <t>2118A</t>
        </is>
      </c>
      <c r="D301" s="661" t="inlineStr">
        <is>
          <t>LONGXIANG</t>
        </is>
      </c>
      <c r="E301" s="661" t="inlineStr">
        <is>
          <t>RFRU</t>
        </is>
      </c>
      <c r="F301" s="661" t="inlineStr">
        <is>
          <t>V VINYLBURGUNDY73204</t>
        </is>
      </c>
      <c r="G301" s="662" t="inlineStr">
        <is>
          <t>I</t>
        </is>
      </c>
      <c r="H301" s="664" t="n">
        <v>1035</v>
      </c>
      <c r="I301" s="665" t="n">
        <v>3.21</v>
      </c>
      <c r="L301" s="663" t="e">
        <v>#REF!</v>
      </c>
    </row>
    <row r="302">
      <c r="B302" s="659" t="n">
        <v>190021</v>
      </c>
      <c r="C302" s="661" t="inlineStr">
        <is>
          <t>2055A</t>
        </is>
      </c>
      <c r="D302" s="661" t="inlineStr">
        <is>
          <t>TOAN DUNG</t>
        </is>
      </c>
      <c r="E302" s="661" t="inlineStr">
        <is>
          <t>RDN</t>
        </is>
      </c>
      <c r="F302" s="661" t="inlineStr">
        <is>
          <t>58.25" BLACK DENIM</t>
        </is>
      </c>
      <c r="G302" s="662" t="inlineStr">
        <is>
          <t>D</t>
        </is>
      </c>
      <c r="L302" s="663" t="e">
        <v>#REF!</v>
      </c>
    </row>
    <row r="303">
      <c r="B303" s="659" t="n">
        <v>190022</v>
      </c>
      <c r="C303" s="661" t="inlineStr">
        <is>
          <t>2055A</t>
        </is>
      </c>
      <c r="D303" s="661" t="inlineStr">
        <is>
          <t>TOAN DUNG</t>
        </is>
      </c>
      <c r="E303" s="661" t="inlineStr">
        <is>
          <t>RDN</t>
        </is>
      </c>
      <c r="F303" s="661" t="inlineStr">
        <is>
          <t>58.25" BEIGE DENIM</t>
        </is>
      </c>
      <c r="G303" s="662" t="inlineStr">
        <is>
          <t>D</t>
        </is>
      </c>
      <c r="L303" s="663" t="e">
        <v>#REF!</v>
      </c>
    </row>
    <row r="304">
      <c r="B304" s="659" t="n">
        <v>190023</v>
      </c>
      <c r="C304" s="661" t="inlineStr">
        <is>
          <t>2055A</t>
        </is>
      </c>
      <c r="D304" s="661" t="inlineStr">
        <is>
          <t>TOAN DUNG</t>
        </is>
      </c>
      <c r="E304" s="661" t="inlineStr">
        <is>
          <t>RDN</t>
        </is>
      </c>
      <c r="F304" s="661" t="inlineStr">
        <is>
          <t>58.25" BRW DENIM</t>
        </is>
      </c>
      <c r="G304" s="662" t="inlineStr">
        <is>
          <t>D</t>
        </is>
      </c>
      <c r="L304" s="663" t="e">
        <v>#REF!</v>
      </c>
    </row>
    <row r="305">
      <c r="B305" s="659" t="inlineStr">
        <is>
          <t>2424-10</t>
        </is>
      </c>
      <c r="C305" s="661" t="inlineStr">
        <is>
          <t>1160A</t>
        </is>
      </c>
      <c r="D305" s="661" t="inlineStr">
        <is>
          <t>QIDA</t>
        </is>
      </c>
      <c r="E305" s="661" t="inlineStr">
        <is>
          <t>RFR</t>
        </is>
      </c>
      <c r="F305" s="661" t="inlineStr">
        <is>
          <t>F DURAPELLAMOCHA571/619/71103</t>
        </is>
      </c>
      <c r="G305" s="662" t="inlineStr">
        <is>
          <t>I</t>
        </is>
      </c>
      <c r="L305" s="663" t="e">
        <v>#REF!</v>
      </c>
    </row>
    <row r="306">
      <c r="B306" s="659" t="n">
        <v>280040</v>
      </c>
      <c r="C306" s="661" t="inlineStr">
        <is>
          <t>2128A</t>
        </is>
      </c>
      <c r="D306" s="661" t="inlineStr">
        <is>
          <t>XINCHI</t>
        </is>
      </c>
      <c r="E306" s="661" t="inlineStr">
        <is>
          <t>WOOD</t>
        </is>
      </c>
      <c r="F306" s="661" t="inlineStr">
        <is>
          <t>CARB PLYWOOD 2440X1220X15MM</t>
        </is>
      </c>
      <c r="G306" s="662" t="inlineStr">
        <is>
          <t>I</t>
        </is>
      </c>
      <c r="H306" s="664" t="n">
        <v>1055</v>
      </c>
      <c r="I306" s="665" t="n">
        <v>14.422</v>
      </c>
      <c r="J306" s="666" t="inlineStr">
        <is>
          <t>EA</t>
        </is>
      </c>
      <c r="L306" s="663" t="e">
        <v>#REF!</v>
      </c>
    </row>
    <row r="307">
      <c r="B307" s="659" t="n">
        <v>280041</v>
      </c>
      <c r="C307" s="661" t="inlineStr">
        <is>
          <t>2068A</t>
        </is>
      </c>
      <c r="D307" s="661" t="inlineStr">
        <is>
          <t>KIET TUONG</t>
        </is>
      </c>
      <c r="E307" s="661" t="inlineStr">
        <is>
          <t>WOOD</t>
        </is>
      </c>
      <c r="F307" s="661" t="inlineStr">
        <is>
          <t>CARB TMDF MASONIT2440X1220X3MM</t>
        </is>
      </c>
      <c r="G307" s="662" t="inlineStr">
        <is>
          <t>D</t>
        </is>
      </c>
      <c r="L307" s="663" t="e">
        <v>#REF!</v>
      </c>
    </row>
    <row r="308">
      <c r="B308" s="659" t="n">
        <v>280045</v>
      </c>
      <c r="C308" s="661" t="inlineStr">
        <is>
          <t>2128A</t>
        </is>
      </c>
      <c r="D308" s="661" t="inlineStr">
        <is>
          <t>XINCHI</t>
        </is>
      </c>
      <c r="E308" s="661" t="inlineStr">
        <is>
          <t>WOOD</t>
        </is>
      </c>
      <c r="F308" s="661" t="inlineStr">
        <is>
          <t>CARB PLYWOOD 2440X1220X18MM</t>
        </is>
      </c>
      <c r="G308" s="662" t="inlineStr">
        <is>
          <t>I</t>
        </is>
      </c>
      <c r="L308" s="663" t="e">
        <v>#REF!</v>
      </c>
    </row>
    <row r="309">
      <c r="B309" s="659" t="n">
        <v>280049</v>
      </c>
      <c r="C309" s="661" t="inlineStr">
        <is>
          <t>2068A</t>
        </is>
      </c>
      <c r="D309" s="661" t="inlineStr">
        <is>
          <t>KIET TUONG</t>
        </is>
      </c>
      <c r="E309" s="661" t="inlineStr">
        <is>
          <t>WOOD</t>
        </is>
      </c>
      <c r="F309" s="661" t="inlineStr">
        <is>
          <t>CARB PB 2440X1220X9MM</t>
        </is>
      </c>
      <c r="G309" s="662" t="inlineStr">
        <is>
          <t>D</t>
        </is>
      </c>
      <c r="L309" s="663" t="e">
        <v>#REF!</v>
      </c>
    </row>
    <row r="310">
      <c r="B310" s="659" t="n">
        <v>280051</v>
      </c>
      <c r="C310" s="661" t="inlineStr">
        <is>
          <t>2068A</t>
        </is>
      </c>
      <c r="D310" s="661" t="inlineStr">
        <is>
          <t>KIET TUONG</t>
        </is>
      </c>
      <c r="E310" s="661" t="inlineStr">
        <is>
          <t>WOOD</t>
        </is>
      </c>
      <c r="F310" s="661" t="inlineStr">
        <is>
          <t>CARB PB 2440X1220X18MM</t>
        </is>
      </c>
      <c r="G310" s="662" t="inlineStr">
        <is>
          <t>D</t>
        </is>
      </c>
      <c r="L310" s="663" t="e">
        <v>#REF!</v>
      </c>
    </row>
    <row r="311">
      <c r="B311" s="659" t="n">
        <v>280061</v>
      </c>
      <c r="C311" s="661" t="inlineStr">
        <is>
          <t>2128A</t>
        </is>
      </c>
      <c r="D311" s="661" t="inlineStr">
        <is>
          <t>XINCHI</t>
        </is>
      </c>
      <c r="E311" s="661" t="inlineStr">
        <is>
          <t>WOOD</t>
        </is>
      </c>
      <c r="F311" s="661" t="inlineStr">
        <is>
          <t>CARB PLYWOOD-PU 2440X1220X6MM</t>
        </is>
      </c>
      <c r="G311" s="662" t="inlineStr">
        <is>
          <t>I</t>
        </is>
      </c>
      <c r="H311" s="664" t="n">
        <v>1055</v>
      </c>
      <c r="I311" s="665" t="n">
        <v>6.126</v>
      </c>
      <c r="J311" s="666" t="inlineStr">
        <is>
          <t>EA</t>
        </is>
      </c>
      <c r="L311" s="663" t="e">
        <v>#REF!</v>
      </c>
    </row>
    <row r="312">
      <c r="B312" s="659" t="n">
        <v>280062</v>
      </c>
      <c r="C312" s="661" t="inlineStr">
        <is>
          <t>2128A</t>
        </is>
      </c>
      <c r="D312" s="661" t="inlineStr">
        <is>
          <t>XINCHI</t>
        </is>
      </c>
      <c r="E312" s="661" t="inlineStr">
        <is>
          <t>WOOD</t>
        </is>
      </c>
      <c r="F312" s="661" t="inlineStr">
        <is>
          <t>CARB PLYWOOD-PU 2440X1220X9MM</t>
        </is>
      </c>
      <c r="G312" s="662" t="inlineStr">
        <is>
          <t>I</t>
        </is>
      </c>
      <c r="H312" s="664" t="n">
        <v>1055</v>
      </c>
      <c r="I312" s="665" t="n">
        <v>9.19</v>
      </c>
      <c r="J312" s="666" t="inlineStr">
        <is>
          <t>EA</t>
        </is>
      </c>
      <c r="L312" s="663" t="e">
        <v>#REF!</v>
      </c>
    </row>
    <row r="313">
      <c r="B313" s="659" t="n">
        <v>280063</v>
      </c>
      <c r="C313" s="661" t="inlineStr">
        <is>
          <t>2128A</t>
        </is>
      </c>
      <c r="D313" s="661" t="inlineStr">
        <is>
          <t>XINCHI</t>
        </is>
      </c>
      <c r="E313" s="661" t="inlineStr">
        <is>
          <t>WOOD</t>
        </is>
      </c>
      <c r="F313" s="661" t="inlineStr">
        <is>
          <t>CARB PLYWOOD-PU 2440X1220X15MM</t>
        </is>
      </c>
      <c r="G313" s="662" t="inlineStr">
        <is>
          <t>I</t>
        </is>
      </c>
      <c r="H313" s="664" t="n">
        <v>1055</v>
      </c>
      <c r="I313" s="665" t="n">
        <v>14.422</v>
      </c>
      <c r="J313" s="666" t="inlineStr">
        <is>
          <t>EA</t>
        </is>
      </c>
      <c r="L313" s="663" t="e">
        <v>#REF!</v>
      </c>
    </row>
    <row r="314">
      <c r="B314" s="659" t="n">
        <v>280064</v>
      </c>
      <c r="C314" s="661" t="inlineStr">
        <is>
          <t>2128A</t>
        </is>
      </c>
      <c r="D314" s="661" t="inlineStr">
        <is>
          <t>XINCHI</t>
        </is>
      </c>
      <c r="E314" s="661" t="inlineStr">
        <is>
          <t>WOOD</t>
        </is>
      </c>
      <c r="F314" s="661" t="inlineStr">
        <is>
          <t>CARB PLYWOOD-PU 2440X1220X18MM</t>
        </is>
      </c>
      <c r="G314" s="662" t="inlineStr">
        <is>
          <t>I</t>
        </is>
      </c>
      <c r="H314" s="664" t="n">
        <v>1055</v>
      </c>
      <c r="I314" s="665" t="n">
        <v>17.04</v>
      </c>
      <c r="J314" s="666" t="inlineStr">
        <is>
          <t>EA</t>
        </is>
      </c>
      <c r="L314" s="663" t="e">
        <v>#REF!</v>
      </c>
    </row>
    <row r="315">
      <c r="B315" s="659" t="n">
        <v>280065</v>
      </c>
      <c r="C315" s="661" t="inlineStr">
        <is>
          <t>2128A</t>
        </is>
      </c>
      <c r="D315" s="661" t="inlineStr">
        <is>
          <t>XINCHI</t>
        </is>
      </c>
      <c r="E315" s="661" t="inlineStr">
        <is>
          <t>WOOD</t>
        </is>
      </c>
      <c r="F315" s="661" t="inlineStr">
        <is>
          <t>CARB PLYWOOD-PU 2440X1220X22MM</t>
        </is>
      </c>
      <c r="G315" s="662" t="inlineStr">
        <is>
          <t>I</t>
        </is>
      </c>
      <c r="H315" s="664" t="n">
        <v>1055</v>
      </c>
      <c r="I315" s="665" t="n">
        <v>20.04</v>
      </c>
      <c r="J315" s="666" t="inlineStr">
        <is>
          <t>EA</t>
        </is>
      </c>
      <c r="L315" s="663" t="e">
        <v>#REF!</v>
      </c>
    </row>
    <row r="316">
      <c r="B316" s="659" t="n">
        <v>350000</v>
      </c>
      <c r="C316" s="661" t="inlineStr">
        <is>
          <t>2124A</t>
        </is>
      </c>
      <c r="D316" s="661" t="inlineStr">
        <is>
          <t>Bayer Mate</t>
        </is>
      </c>
      <c r="E316" s="661" t="inlineStr">
        <is>
          <t>RPUI</t>
        </is>
      </c>
      <c r="F316" s="661" t="inlineStr">
        <is>
          <t>ISOCYANATE DESMODUR 44V20L</t>
        </is>
      </c>
      <c r="G316" s="662" t="inlineStr">
        <is>
          <t>I</t>
        </is>
      </c>
      <c r="L316" s="663" t="e">
        <v>#REF!</v>
      </c>
    </row>
    <row r="317">
      <c r="B317" s="659" t="n">
        <v>350001</v>
      </c>
      <c r="C317" s="661" t="inlineStr">
        <is>
          <t>2124A</t>
        </is>
      </c>
      <c r="D317" s="661" t="inlineStr">
        <is>
          <t>Bayer Mate</t>
        </is>
      </c>
      <c r="E317" s="661" t="inlineStr">
        <is>
          <t>RPUI</t>
        </is>
      </c>
      <c r="F317" s="661" t="inlineStr">
        <is>
          <t>POLYOL BAYDUR 42BD005</t>
        </is>
      </c>
      <c r="G317" s="662" t="inlineStr">
        <is>
          <t>I</t>
        </is>
      </c>
      <c r="L317" s="663" t="e">
        <v>#REF!</v>
      </c>
    </row>
    <row r="318">
      <c r="B318" s="659" t="n">
        <v>400004</v>
      </c>
      <c r="C318" s="661" t="inlineStr">
        <is>
          <t>2052A</t>
        </is>
      </c>
      <c r="D318" s="661" t="inlineStr">
        <is>
          <t>TR.THANH</t>
        </is>
      </c>
      <c r="E318" s="661" t="inlineStr">
        <is>
          <t>WOOD</t>
        </is>
      </c>
      <c r="F318" s="661" t="inlineStr">
        <is>
          <t>CARB PLYWOOD 419X51X18MM</t>
        </is>
      </c>
      <c r="G318" s="662" t="inlineStr">
        <is>
          <t>D</t>
        </is>
      </c>
      <c r="L318" s="663" t="e">
        <v>#REF!</v>
      </c>
    </row>
    <row r="319">
      <c r="B319" s="659" t="n">
        <v>400005</v>
      </c>
      <c r="C319" s="661" t="inlineStr">
        <is>
          <t>2052A</t>
        </is>
      </c>
      <c r="D319" s="661" t="inlineStr">
        <is>
          <t>TR.THANH</t>
        </is>
      </c>
      <c r="E319" s="661" t="inlineStr">
        <is>
          <t>WOOD</t>
        </is>
      </c>
      <c r="F319" s="661" t="inlineStr">
        <is>
          <t>CARB PLYWOOD  584X51X18MM</t>
        </is>
      </c>
      <c r="G319" s="662" t="inlineStr">
        <is>
          <t>D</t>
        </is>
      </c>
      <c r="L319" s="663" t="e">
        <v>#REF!</v>
      </c>
    </row>
    <row r="320">
      <c r="B320" s="659" t="n">
        <v>400006</v>
      </c>
      <c r="C320" s="661" t="inlineStr">
        <is>
          <t>2038A</t>
        </is>
      </c>
      <c r="D320" s="661" t="inlineStr">
        <is>
          <t>THUONGVIET</t>
        </is>
      </c>
      <c r="E320" s="661" t="inlineStr">
        <is>
          <t>WOOD</t>
        </is>
      </c>
      <c r="F320" s="661" t="inlineStr">
        <is>
          <t>CARB MDF 381X64X18MM</t>
        </is>
      </c>
      <c r="G320" s="662" t="inlineStr">
        <is>
          <t>D</t>
        </is>
      </c>
      <c r="L320" s="663" t="e">
        <v>#REF!</v>
      </c>
    </row>
    <row r="321">
      <c r="B321" s="659" t="n">
        <v>400007</v>
      </c>
      <c r="C321" s="661" t="inlineStr">
        <is>
          <t>2048A</t>
        </is>
      </c>
      <c r="D321" s="661" t="inlineStr">
        <is>
          <t>VINH DUC</t>
        </is>
      </c>
      <c r="E321" s="661" t="inlineStr">
        <is>
          <t>UEPP</t>
        </is>
      </c>
      <c r="F321" s="661" t="inlineStr">
        <is>
          <t>PURCHASED FOAM 457X91X16</t>
        </is>
      </c>
      <c r="G321" s="662" t="inlineStr">
        <is>
          <t>D</t>
        </is>
      </c>
      <c r="L321" s="663" t="e">
        <v>#REF!</v>
      </c>
    </row>
    <row r="322">
      <c r="B322" s="659" t="n">
        <v>400008</v>
      </c>
      <c r="C322" s="661" t="inlineStr">
        <is>
          <t>2048A</t>
        </is>
      </c>
      <c r="D322" s="661" t="inlineStr">
        <is>
          <t>VINH DUC</t>
        </is>
      </c>
      <c r="E322" s="661" t="inlineStr">
        <is>
          <t>UEPP</t>
        </is>
      </c>
      <c r="F322" s="661" t="inlineStr">
        <is>
          <t>PURCHASED FOAM 624X95X16</t>
        </is>
      </c>
      <c r="G322" s="662" t="inlineStr">
        <is>
          <t>D</t>
        </is>
      </c>
      <c r="L322" s="663" t="e">
        <v>#REF!</v>
      </c>
    </row>
    <row r="323">
      <c r="B323" s="659" t="n">
        <v>400009</v>
      </c>
      <c r="C323" s="661" t="inlineStr">
        <is>
          <t>2048A</t>
        </is>
      </c>
      <c r="D323" s="661" t="inlineStr">
        <is>
          <t>VINH DUC</t>
        </is>
      </c>
      <c r="E323" s="661" t="inlineStr">
        <is>
          <t>UEPP</t>
        </is>
      </c>
      <c r="F323" s="661" t="inlineStr">
        <is>
          <t>PURCHASED FOAM 406X102X16</t>
        </is>
      </c>
      <c r="G323" s="662" t="inlineStr">
        <is>
          <t>D</t>
        </is>
      </c>
      <c r="L323" s="663" t="e">
        <v>#REF!</v>
      </c>
    </row>
    <row r="324">
      <c r="B324" s="659" t="n">
        <v>400010</v>
      </c>
      <c r="C324" s="661" t="inlineStr">
        <is>
          <t>2048A</t>
        </is>
      </c>
      <c r="D324" s="661" t="inlineStr">
        <is>
          <t>VINH DUC</t>
        </is>
      </c>
      <c r="E324" s="661" t="inlineStr">
        <is>
          <t>UEPP</t>
        </is>
      </c>
      <c r="F324" s="661" t="inlineStr">
        <is>
          <t>PURCHASED FOAM 508X102X16</t>
        </is>
      </c>
      <c r="G324" s="662" t="inlineStr">
        <is>
          <t>D</t>
        </is>
      </c>
      <c r="L324" s="663" t="e">
        <v>#REF!</v>
      </c>
    </row>
    <row r="325">
      <c r="B325" s="659" t="n">
        <v>400011</v>
      </c>
      <c r="C325" s="661" t="inlineStr">
        <is>
          <t>2038A</t>
        </is>
      </c>
      <c r="D325" s="661" t="inlineStr">
        <is>
          <t>THUONGVIET</t>
        </is>
      </c>
      <c r="E325" s="661" t="inlineStr">
        <is>
          <t>WOOD</t>
        </is>
      </c>
      <c r="F325" s="661" t="inlineStr">
        <is>
          <t>CARB MDF 483X64X18MM</t>
        </is>
      </c>
      <c r="G325" s="662" t="inlineStr">
        <is>
          <t>D</t>
        </is>
      </c>
      <c r="L325" s="663" t="e">
        <v>#REF!</v>
      </c>
    </row>
    <row r="326">
      <c r="B326" s="659" t="n">
        <v>400012</v>
      </c>
      <c r="C326" s="661" t="inlineStr">
        <is>
          <t>2038A</t>
        </is>
      </c>
      <c r="D326" s="661" t="inlineStr">
        <is>
          <t>THUONGVIET</t>
        </is>
      </c>
      <c r="E326" s="661" t="inlineStr">
        <is>
          <t>WOOD</t>
        </is>
      </c>
      <c r="F326" s="661" t="inlineStr">
        <is>
          <t>CARB MDF 432X64X15MM</t>
        </is>
      </c>
      <c r="G326" s="662" t="inlineStr">
        <is>
          <t>D</t>
        </is>
      </c>
      <c r="L326" s="663" t="e">
        <v>#REF!</v>
      </c>
    </row>
    <row r="327">
      <c r="B327" s="659" t="n">
        <v>400013</v>
      </c>
      <c r="C327" s="661" t="inlineStr">
        <is>
          <t>2048A</t>
        </is>
      </c>
      <c r="D327" s="661" t="inlineStr">
        <is>
          <t>VINH DUC</t>
        </is>
      </c>
      <c r="E327" s="661" t="inlineStr">
        <is>
          <t>UEPP</t>
        </is>
      </c>
      <c r="F327" s="661" t="inlineStr">
        <is>
          <t>PURCHASED FOAM 483X102X16</t>
        </is>
      </c>
      <c r="G327" s="662" t="inlineStr">
        <is>
          <t>D</t>
        </is>
      </c>
      <c r="L327" s="663" t="e">
        <v>#REF!</v>
      </c>
    </row>
    <row r="328">
      <c r="B328" s="659" t="n">
        <v>400018</v>
      </c>
      <c r="C328" s="661" t="inlineStr">
        <is>
          <t>2048A</t>
        </is>
      </c>
      <c r="D328" s="661" t="inlineStr">
        <is>
          <t>VINH DUC</t>
        </is>
      </c>
      <c r="E328" s="661" t="inlineStr">
        <is>
          <t>UEPP</t>
        </is>
      </c>
      <c r="F328" s="661" t="inlineStr">
        <is>
          <t>PURCHASED FOAM 430X90X15</t>
        </is>
      </c>
      <c r="G328" s="662" t="inlineStr">
        <is>
          <t>D</t>
        </is>
      </c>
      <c r="L328" s="663" t="e">
        <v>#REF!</v>
      </c>
    </row>
    <row r="329">
      <c r="B329" s="659" t="n">
        <v>400020</v>
      </c>
      <c r="C329" s="661" t="inlineStr">
        <is>
          <t>2048A</t>
        </is>
      </c>
      <c r="D329" s="661" t="inlineStr">
        <is>
          <t>VINH DUC</t>
        </is>
      </c>
      <c r="E329" s="661" t="inlineStr">
        <is>
          <t>UEPP</t>
        </is>
      </c>
      <c r="F329" s="661" t="inlineStr">
        <is>
          <t>PURCHASED FOAM 405X100X15</t>
        </is>
      </c>
      <c r="G329" s="662" t="inlineStr">
        <is>
          <t>D</t>
        </is>
      </c>
      <c r="L329" s="663" t="e">
        <v>#REF!</v>
      </c>
    </row>
    <row r="330">
      <c r="B330" s="659" t="n">
        <v>400627</v>
      </c>
      <c r="C330" s="661" t="inlineStr">
        <is>
          <t>2073A</t>
        </is>
      </c>
      <c r="D330" s="661" t="inlineStr">
        <is>
          <t>MEDORI</t>
        </is>
      </c>
      <c r="E330" s="661" t="inlineStr">
        <is>
          <t>MISN</t>
        </is>
      </c>
      <c r="F330" s="661" t="inlineStr">
        <is>
          <t>REINFORCEMENT W 1" L 8.25"</t>
        </is>
      </c>
      <c r="G330" s="662" t="inlineStr">
        <is>
          <t>D</t>
        </is>
      </c>
      <c r="L330" s="663" t="e">
        <v>#REF!</v>
      </c>
    </row>
    <row r="331">
      <c r="B331" s="659" t="n">
        <v>410118</v>
      </c>
      <c r="C331" s="661" t="inlineStr">
        <is>
          <t>2040A</t>
        </is>
      </c>
      <c r="D331" s="661" t="inlineStr">
        <is>
          <t>S.Y.VINA</t>
        </is>
      </c>
      <c r="E331" s="661" t="inlineStr">
        <is>
          <t>RFR</t>
        </is>
      </c>
      <c r="F331" s="661" t="inlineStr">
        <is>
          <t>F SLIPCOVERSAGE 149/36103</t>
        </is>
      </c>
      <c r="G331" s="662" t="inlineStr">
        <is>
          <t>D</t>
        </is>
      </c>
      <c r="L331" s="663" t="e">
        <v>#REF!</v>
      </c>
    </row>
    <row r="332">
      <c r="B332" s="659" t="n">
        <v>410221</v>
      </c>
      <c r="C332" s="661" t="inlineStr">
        <is>
          <t>2040A</t>
        </is>
      </c>
      <c r="D332" s="661" t="inlineStr">
        <is>
          <t>S.Y.VINA</t>
        </is>
      </c>
      <c r="E332" s="661" t="inlineStr">
        <is>
          <t>RFR</t>
        </is>
      </c>
      <c r="F332" s="661" t="inlineStr">
        <is>
          <t>F DURAPELLACOCOA 10253/18553</t>
        </is>
      </c>
      <c r="G332" s="662" t="inlineStr">
        <is>
          <t>D</t>
        </is>
      </c>
      <c r="L332" s="663" t="e">
        <v>#REF!</v>
      </c>
    </row>
    <row r="333">
      <c r="B333" s="659" t="n">
        <v>410800</v>
      </c>
      <c r="C333" s="661" t="inlineStr">
        <is>
          <t>2040A</t>
        </is>
      </c>
      <c r="D333" s="661" t="inlineStr">
        <is>
          <t>S.Y.VINA</t>
        </is>
      </c>
      <c r="E333" s="661" t="inlineStr">
        <is>
          <t>RFR</t>
        </is>
      </c>
      <c r="F333" s="661" t="inlineStr">
        <is>
          <t>F DURAPELLAOYSTER36100</t>
        </is>
      </c>
      <c r="G333" s="662" t="inlineStr">
        <is>
          <t>D</t>
        </is>
      </c>
      <c r="L333" s="663" t="e">
        <v>#REF!</v>
      </c>
    </row>
    <row r="334">
      <c r="B334" s="659" t="n">
        <v>44298</v>
      </c>
      <c r="C334" s="661" t="inlineStr">
        <is>
          <t>2051A</t>
        </is>
      </c>
      <c r="D334" s="661" t="inlineStr">
        <is>
          <t>ST PETER</t>
        </is>
      </c>
      <c r="E334" s="661" t="inlineStr">
        <is>
          <t>UEFB</t>
        </is>
      </c>
      <c r="F334" s="661" t="inlineStr">
        <is>
          <t>3 OZ LOWMELT FIBER 54 IN ROLL</t>
        </is>
      </c>
      <c r="G334" s="662" t="inlineStr">
        <is>
          <t>D</t>
        </is>
      </c>
      <c r="L334" s="663" t="e">
        <v>#REF!</v>
      </c>
    </row>
    <row r="335">
      <c r="B335" s="659" t="n">
        <v>44320</v>
      </c>
      <c r="C335" s="661" t="inlineStr">
        <is>
          <t>2019A</t>
        </is>
      </c>
      <c r="D335" s="661" t="inlineStr">
        <is>
          <t>MIREA</t>
        </is>
      </c>
      <c r="E335" s="661" t="inlineStr">
        <is>
          <t>UEFB</t>
        </is>
      </c>
      <c r="F335" s="661" t="inlineStr">
        <is>
          <t>U-FIBER 2 OZ 64 INCH ROLL</t>
        </is>
      </c>
      <c r="G335" s="662" t="inlineStr">
        <is>
          <t>D</t>
        </is>
      </c>
      <c r="L335" s="663" t="e">
        <v>#REF!</v>
      </c>
    </row>
    <row r="336">
      <c r="B336" s="659" t="n">
        <v>44344</v>
      </c>
      <c r="C336" s="661" t="inlineStr">
        <is>
          <t>2051A</t>
        </is>
      </c>
      <c r="D336" s="661" t="inlineStr">
        <is>
          <t>ST PETER</t>
        </is>
      </c>
      <c r="E336" s="661" t="inlineStr">
        <is>
          <t>UEFB</t>
        </is>
      </c>
      <c r="F336" s="661" t="inlineStr">
        <is>
          <t>U-FIBER 2 OZ 68 INCH ROLL</t>
        </is>
      </c>
      <c r="G336" s="662" t="inlineStr">
        <is>
          <t>D</t>
        </is>
      </c>
      <c r="L336" s="663" t="e">
        <v>#REF!</v>
      </c>
    </row>
    <row r="337">
      <c r="B337" s="659" t="n">
        <v>44387</v>
      </c>
      <c r="C337" s="661" t="inlineStr">
        <is>
          <t>2051A</t>
        </is>
      </c>
      <c r="D337" s="661" t="inlineStr">
        <is>
          <t>ST PETER</t>
        </is>
      </c>
      <c r="E337" s="661" t="inlineStr">
        <is>
          <t>UEFB</t>
        </is>
      </c>
      <c r="F337" s="661" t="inlineStr">
        <is>
          <t>U-FIBER 2 OZ 40 INCH ROLL</t>
        </is>
      </c>
      <c r="G337" s="662" t="inlineStr">
        <is>
          <t>D</t>
        </is>
      </c>
      <c r="L337" s="663" t="e">
        <v>#REF!</v>
      </c>
    </row>
    <row r="338">
      <c r="B338" s="659" t="n">
        <v>45040</v>
      </c>
      <c r="C338" s="661" t="inlineStr">
        <is>
          <t>2051A</t>
        </is>
      </c>
      <c r="D338" s="661" t="inlineStr">
        <is>
          <t>ST PETER</t>
        </is>
      </c>
      <c r="E338" s="661" t="inlineStr">
        <is>
          <t>UEFB</t>
        </is>
      </c>
      <c r="F338" s="661" t="inlineStr">
        <is>
          <t>3 OZ LOWMELT FIBER 64 IN ROLL</t>
        </is>
      </c>
      <c r="G338" s="662" t="inlineStr">
        <is>
          <t>D</t>
        </is>
      </c>
      <c r="L338" s="663" t="e">
        <v>#REF!</v>
      </c>
    </row>
    <row r="339">
      <c r="B339" s="659" t="n">
        <v>480006</v>
      </c>
      <c r="C339" s="661" t="inlineStr">
        <is>
          <t>2137A</t>
        </is>
      </c>
      <c r="D339" s="661" t="inlineStr">
        <is>
          <t>SMART</t>
        </is>
      </c>
      <c r="E339" s="661" t="inlineStr">
        <is>
          <t>RFRU</t>
        </is>
      </c>
      <c r="F339" s="661" t="inlineStr">
        <is>
          <t>V CAMMANDOLATTE 112/11413</t>
        </is>
      </c>
      <c r="G339" s="662" t="inlineStr">
        <is>
          <t>D</t>
        </is>
      </c>
      <c r="L339" s="663" t="e">
        <v>#REF!</v>
      </c>
    </row>
    <row r="340">
      <c r="B340" s="659" t="n">
        <v>480041</v>
      </c>
      <c r="C340" s="661" t="inlineStr">
        <is>
          <t>2068A</t>
        </is>
      </c>
      <c r="D340" s="661" t="inlineStr">
        <is>
          <t>KIET TUONG</t>
        </is>
      </c>
      <c r="E340" s="661" t="inlineStr">
        <is>
          <t>WOOD</t>
        </is>
      </c>
      <c r="F340" s="661" t="inlineStr">
        <is>
          <t>CARB TMDF MASONIT2440X1220X3MM</t>
        </is>
      </c>
      <c r="G340" s="662" t="inlineStr">
        <is>
          <t>D</t>
        </is>
      </c>
      <c r="L340" s="663" t="e">
        <v>#REF!</v>
      </c>
    </row>
    <row r="341">
      <c r="B341" s="659" t="n">
        <v>480045</v>
      </c>
      <c r="C341" s="661" t="inlineStr">
        <is>
          <t>2022A</t>
        </is>
      </c>
      <c r="D341" s="661" t="inlineStr">
        <is>
          <t>HDP</t>
        </is>
      </c>
      <c r="E341" s="661" t="inlineStr">
        <is>
          <t>WOOD</t>
        </is>
      </c>
      <c r="F341" s="661" t="inlineStr">
        <is>
          <t>CARB PLYWOOD 2440X1220X18MM</t>
        </is>
      </c>
      <c r="G341" s="662" t="inlineStr">
        <is>
          <t>D</t>
        </is>
      </c>
      <c r="L341" s="663" t="e">
        <v>#REF!</v>
      </c>
    </row>
    <row r="342">
      <c r="B342" s="659" t="n">
        <v>480049</v>
      </c>
      <c r="C342" s="661" t="inlineStr">
        <is>
          <t>2068A</t>
        </is>
      </c>
      <c r="D342" s="661" t="inlineStr">
        <is>
          <t>KIET TUONG</t>
        </is>
      </c>
      <c r="E342" s="661" t="inlineStr">
        <is>
          <t>WOOD</t>
        </is>
      </c>
      <c r="F342" s="661" t="inlineStr">
        <is>
          <t>CARB PB 2440X1220X9MM</t>
        </is>
      </c>
      <c r="G342" s="662" t="inlineStr">
        <is>
          <t>D</t>
        </is>
      </c>
      <c r="L342" s="663" t="e">
        <v>#REF!</v>
      </c>
    </row>
    <row r="343">
      <c r="B343" s="659" t="n">
        <v>480061</v>
      </c>
      <c r="C343" s="661" t="inlineStr">
        <is>
          <t>2052A</t>
        </is>
      </c>
      <c r="D343" s="661" t="inlineStr">
        <is>
          <t>TR.THANH</t>
        </is>
      </c>
      <c r="E343" s="661" t="inlineStr">
        <is>
          <t>WOOD</t>
        </is>
      </c>
      <c r="F343" s="661" t="inlineStr">
        <is>
          <t>CARB PLYWOOD-PU 2440X1220X6MM</t>
        </is>
      </c>
      <c r="G343" s="662" t="inlineStr">
        <is>
          <t>D</t>
        </is>
      </c>
      <c r="L343" s="663" t="e">
        <v>#REF!</v>
      </c>
    </row>
    <row r="344">
      <c r="B344" s="659" t="n">
        <v>480062</v>
      </c>
      <c r="C344" s="661" t="inlineStr">
        <is>
          <t>2052A</t>
        </is>
      </c>
      <c r="D344" s="661" t="inlineStr">
        <is>
          <t>TR.THANH</t>
        </is>
      </c>
      <c r="E344" s="661" t="inlineStr">
        <is>
          <t>WOOD</t>
        </is>
      </c>
      <c r="F344" s="661" t="inlineStr">
        <is>
          <t>CARB PLYWOOD-PU 2440X1220X9MM</t>
        </is>
      </c>
      <c r="G344" s="662" t="inlineStr">
        <is>
          <t>D</t>
        </is>
      </c>
      <c r="L344" s="663" t="e">
        <v>#REF!</v>
      </c>
    </row>
    <row r="345">
      <c r="B345" s="659" t="n">
        <v>480063</v>
      </c>
      <c r="C345" s="661" t="inlineStr">
        <is>
          <t>2052A</t>
        </is>
      </c>
      <c r="D345" s="661" t="inlineStr">
        <is>
          <t>TR.THANH</t>
        </is>
      </c>
      <c r="E345" s="661" t="inlineStr">
        <is>
          <t>WOOD</t>
        </is>
      </c>
      <c r="F345" s="661" t="inlineStr">
        <is>
          <t>CARB PLYWOOD-PU 2440X1220X15MM</t>
        </is>
      </c>
      <c r="G345" s="662" t="inlineStr">
        <is>
          <t>D</t>
        </is>
      </c>
      <c r="L345" s="663" t="e">
        <v>#REF!</v>
      </c>
    </row>
    <row r="346">
      <c r="B346" s="659" t="n">
        <v>49424</v>
      </c>
      <c r="C346" s="661" t="inlineStr">
        <is>
          <t>2137A</t>
        </is>
      </c>
      <c r="D346" s="661" t="inlineStr">
        <is>
          <t>SMART</t>
        </is>
      </c>
      <c r="E346" s="661" t="inlineStr">
        <is>
          <t>RFRU</t>
        </is>
      </c>
      <c r="F346" s="661" t="inlineStr">
        <is>
          <t>F DURAHIDEONYX529/62875800</t>
        </is>
      </c>
      <c r="G346" s="662" t="inlineStr">
        <is>
          <t>D</t>
        </is>
      </c>
      <c r="H346" s="664" t="n">
        <v>1006</v>
      </c>
      <c r="L346" s="663" t="e">
        <v>#REF!</v>
      </c>
    </row>
    <row r="347">
      <c r="B347" s="659" t="n">
        <v>49521</v>
      </c>
      <c r="C347" s="661" t="inlineStr">
        <is>
          <t>2051A</t>
        </is>
      </c>
      <c r="D347" s="661" t="inlineStr">
        <is>
          <t>ST PETER</t>
        </is>
      </c>
      <c r="E347" s="661" t="inlineStr">
        <is>
          <t>UEFB</t>
        </is>
      </c>
      <c r="F347" s="661" t="inlineStr">
        <is>
          <t>2 OZ LOWMELT FIBER 53.5INCH</t>
        </is>
      </c>
      <c r="G347" s="662" t="inlineStr">
        <is>
          <t>D</t>
        </is>
      </c>
      <c r="L347" s="663" t="e">
        <v>#REF!</v>
      </c>
    </row>
    <row r="348">
      <c r="B348" s="659" t="n">
        <v>72012</v>
      </c>
      <c r="C348" s="661" t="inlineStr">
        <is>
          <t>2016A</t>
        </is>
      </c>
      <c r="D348" s="661" t="inlineStr">
        <is>
          <t>TUAN MA</t>
        </is>
      </c>
      <c r="E348" s="661" t="inlineStr">
        <is>
          <t>MIS</t>
        </is>
      </c>
      <c r="F348" s="661" t="inlineStr">
        <is>
          <t>1/2 INCH WHITE ELASTIC</t>
        </is>
      </c>
      <c r="G348" s="662" t="inlineStr">
        <is>
          <t>D</t>
        </is>
      </c>
      <c r="L348" s="663" t="e">
        <v>#REF!</v>
      </c>
    </row>
    <row r="349">
      <c r="B349" s="659" t="n">
        <v>72046</v>
      </c>
      <c r="C349" s="661" t="inlineStr">
        <is>
          <t>2139A</t>
        </is>
      </c>
      <c r="D349" s="661" t="inlineStr">
        <is>
          <t>MINGLU</t>
        </is>
      </c>
      <c r="E349" s="661" t="inlineStr">
        <is>
          <t>MIS</t>
        </is>
      </c>
      <c r="F349" s="661" t="inlineStr">
        <is>
          <t>U-TYPAR 24 INX4.5OZ/SQYD</t>
        </is>
      </c>
      <c r="G349" s="662" t="inlineStr">
        <is>
          <t>I</t>
        </is>
      </c>
      <c r="H349" s="664" t="n">
        <v>1010</v>
      </c>
      <c r="I349" s="665" t="n">
        <v>0.2974</v>
      </c>
      <c r="J349" s="666" t="inlineStr">
        <is>
          <t>M</t>
        </is>
      </c>
      <c r="L349" s="663" t="e">
        <v>#REF!</v>
      </c>
    </row>
    <row r="350">
      <c r="B350" s="659" t="n">
        <v>72212</v>
      </c>
      <c r="C350" s="661" t="inlineStr">
        <is>
          <t>2139A</t>
        </is>
      </c>
      <c r="D350" s="661" t="inlineStr">
        <is>
          <t>MINGLU</t>
        </is>
      </c>
      <c r="E350" s="661" t="inlineStr">
        <is>
          <t>MISN</t>
        </is>
      </c>
      <c r="F350" s="661" t="inlineStr">
        <is>
          <t>U-TYPAR 28 INX4.5OZ/SQYD</t>
        </is>
      </c>
      <c r="G350" s="662" t="inlineStr">
        <is>
          <t>I</t>
        </is>
      </c>
      <c r="H350" s="664" t="n">
        <v>1010</v>
      </c>
      <c r="I350" s="665" t="n">
        <v>0.3475</v>
      </c>
      <c r="J350" s="666" t="inlineStr">
        <is>
          <t>M</t>
        </is>
      </c>
      <c r="L350" s="663" t="e">
        <v>#REF!</v>
      </c>
    </row>
    <row r="351">
      <c r="B351" s="659" t="n">
        <v>73538</v>
      </c>
      <c r="C351" s="661" t="inlineStr">
        <is>
          <t>3A</t>
        </is>
      </c>
      <c r="D351" s="661" t="inlineStr">
        <is>
          <t>Wanvog</t>
        </is>
      </c>
      <c r="E351" s="661" t="inlineStr">
        <is>
          <t>MIS</t>
        </is>
      </c>
      <c r="F351" s="661" t="inlineStr">
        <is>
          <t>2" WIDTH BEIGE VELCRO HOOK</t>
        </is>
      </c>
      <c r="G351" s="662" t="inlineStr">
        <is>
          <t>I</t>
        </is>
      </c>
      <c r="H351" s="664" t="n">
        <v>1017</v>
      </c>
      <c r="I351" s="665" t="n">
        <v>0.0866</v>
      </c>
      <c r="J351" s="666" t="inlineStr">
        <is>
          <t>M</t>
        </is>
      </c>
      <c r="L351" s="663" t="e">
        <v>#REF!</v>
      </c>
    </row>
    <row r="352">
      <c r="B352" s="659" t="n">
        <v>73539</v>
      </c>
      <c r="C352" s="661" t="inlineStr">
        <is>
          <t>3A</t>
        </is>
      </c>
      <c r="D352" s="661" t="inlineStr">
        <is>
          <t>Wanvog</t>
        </is>
      </c>
      <c r="E352" s="661" t="inlineStr">
        <is>
          <t>MIS</t>
        </is>
      </c>
      <c r="F352" s="661" t="inlineStr">
        <is>
          <t>2" WIDTH BEIGE VELCRO LOOP</t>
        </is>
      </c>
      <c r="G352" s="662" t="inlineStr">
        <is>
          <t>I</t>
        </is>
      </c>
      <c r="H352" s="664" t="n">
        <v>1018</v>
      </c>
      <c r="I352" s="665" t="n">
        <v>0.0866</v>
      </c>
      <c r="J352" s="666" t="inlineStr">
        <is>
          <t>M</t>
        </is>
      </c>
      <c r="L352" s="663" t="e">
        <v>#REF!</v>
      </c>
    </row>
    <row r="353">
      <c r="B353" s="659" t="n">
        <v>73624</v>
      </c>
      <c r="C353" s="661" t="inlineStr">
        <is>
          <t>3A</t>
        </is>
      </c>
      <c r="D353" s="661" t="inlineStr">
        <is>
          <t>Wanvog</t>
        </is>
      </c>
      <c r="E353" s="661" t="inlineStr">
        <is>
          <t>MIS</t>
        </is>
      </c>
      <c r="F353" s="661" t="inlineStr">
        <is>
          <t>2" WIDTH BLACK VELCRO HOOK</t>
        </is>
      </c>
      <c r="G353" s="662" t="inlineStr">
        <is>
          <t>I</t>
        </is>
      </c>
      <c r="H353" s="664" t="n">
        <v>1017</v>
      </c>
      <c r="I353" s="665" t="n">
        <v>0.0866</v>
      </c>
      <c r="J353" s="666" t="inlineStr">
        <is>
          <t>M</t>
        </is>
      </c>
      <c r="L353" s="663" t="e">
        <v>#REF!</v>
      </c>
    </row>
    <row r="354">
      <c r="B354" s="659" t="n">
        <v>73625</v>
      </c>
      <c r="C354" s="661" t="inlineStr">
        <is>
          <t>3A</t>
        </is>
      </c>
      <c r="D354" s="661" t="inlineStr">
        <is>
          <t>Wanvog</t>
        </is>
      </c>
      <c r="E354" s="661" t="inlineStr">
        <is>
          <t>MIS</t>
        </is>
      </c>
      <c r="F354" s="661" t="inlineStr">
        <is>
          <t>2" WIDTH BLACK VELCRO LOOP</t>
        </is>
      </c>
      <c r="G354" s="662" t="inlineStr">
        <is>
          <t>I</t>
        </is>
      </c>
      <c r="H354" s="664" t="n">
        <v>1018</v>
      </c>
      <c r="I354" s="665" t="n">
        <v>0.0866</v>
      </c>
      <c r="J354" s="666" t="inlineStr">
        <is>
          <t>M</t>
        </is>
      </c>
      <c r="L354" s="663" t="e">
        <v>#REF!</v>
      </c>
    </row>
    <row r="355">
      <c r="B355" s="659" t="n">
        <v>73732</v>
      </c>
      <c r="C355" s="661" t="inlineStr">
        <is>
          <t>2144A</t>
        </is>
      </c>
      <c r="D355" s="661" t="inlineStr">
        <is>
          <t>FAR EASTEN</t>
        </is>
      </c>
      <c r="E355" s="661" t="inlineStr">
        <is>
          <t>UEFB</t>
        </is>
      </c>
      <c r="F355" s="661" t="inlineStr">
        <is>
          <t>4080 LOW MELT 4D FIBER</t>
        </is>
      </c>
      <c r="G355" s="662" t="inlineStr">
        <is>
          <t>I</t>
        </is>
      </c>
      <c r="L355" s="663" t="e">
        <v>#REF!</v>
      </c>
    </row>
    <row r="356">
      <c r="B356" s="659" t="n">
        <v>73738</v>
      </c>
      <c r="C356" s="661" t="inlineStr">
        <is>
          <t>2143A</t>
        </is>
      </c>
      <c r="D356" s="661" t="inlineStr">
        <is>
          <t>BEST</t>
        </is>
      </c>
      <c r="E356" s="661" t="inlineStr">
        <is>
          <t>UEFB</t>
        </is>
      </c>
      <c r="F356" s="661" t="inlineStr">
        <is>
          <t>20D RECYCLE FIBER</t>
        </is>
      </c>
      <c r="G356" s="662" t="inlineStr">
        <is>
          <t>I</t>
        </is>
      </c>
      <c r="L356" s="663" t="e">
        <v>#REF!</v>
      </c>
    </row>
    <row r="357">
      <c r="B357" s="659" t="n">
        <v>73948</v>
      </c>
      <c r="C357" s="661" t="inlineStr">
        <is>
          <t>2003A</t>
        </is>
      </c>
      <c r="D357" s="661" t="inlineStr">
        <is>
          <t>HKK</t>
        </is>
      </c>
      <c r="E357" s="661" t="inlineStr">
        <is>
          <t>MIS</t>
        </is>
      </c>
      <c r="F357" s="661" t="inlineStr">
        <is>
          <t>BLACK ZIPPER CHAIN</t>
        </is>
      </c>
      <c r="G357" s="662" t="inlineStr">
        <is>
          <t>D</t>
        </is>
      </c>
      <c r="H357" s="664" t="n">
        <v>1012</v>
      </c>
      <c r="I357" s="665" t="n">
        <v>0.054</v>
      </c>
      <c r="J357" s="666" t="inlineStr">
        <is>
          <t>M</t>
        </is>
      </c>
      <c r="L357" s="663" t="e">
        <v>#REF!</v>
      </c>
    </row>
    <row r="358">
      <c r="B358" s="659" t="n">
        <v>73949</v>
      </c>
      <c r="C358" s="661" t="inlineStr">
        <is>
          <t>2003A</t>
        </is>
      </c>
      <c r="D358" s="661" t="inlineStr">
        <is>
          <t>HKK</t>
        </is>
      </c>
      <c r="E358" s="661" t="inlineStr">
        <is>
          <t>MIS</t>
        </is>
      </c>
      <c r="F358" s="661" t="inlineStr">
        <is>
          <t>BLACK ZIPPER SLIDE</t>
        </is>
      </c>
      <c r="G358" s="662" t="inlineStr">
        <is>
          <t>D</t>
        </is>
      </c>
      <c r="H358" s="664" t="n">
        <v>1013</v>
      </c>
      <c r="I358" s="665" t="n">
        <v>0.016</v>
      </c>
      <c r="J358" s="666" t="inlineStr">
        <is>
          <t>EA</t>
        </is>
      </c>
      <c r="L358" s="663" t="e">
        <v>#REF!</v>
      </c>
    </row>
    <row r="359">
      <c r="B359" s="659" t="n">
        <v>74162</v>
      </c>
      <c r="C359" s="661" t="inlineStr">
        <is>
          <t>2019A</t>
        </is>
      </c>
      <c r="D359" s="661" t="inlineStr">
        <is>
          <t>MIREA</t>
        </is>
      </c>
      <c r="E359" s="661" t="inlineStr">
        <is>
          <t>UEFB</t>
        </is>
      </c>
      <c r="F359" s="661" t="inlineStr">
        <is>
          <t>U-FIBER.75 OZ 56 INCH ROLL</t>
        </is>
      </c>
      <c r="G359" s="662" t="inlineStr">
        <is>
          <t>D</t>
        </is>
      </c>
      <c r="L359" s="663" t="e">
        <v>#REF!</v>
      </c>
    </row>
    <row r="360">
      <c r="B360" s="659" t="n">
        <v>74231</v>
      </c>
      <c r="C360" s="661" t="inlineStr">
        <is>
          <t>2019A</t>
        </is>
      </c>
      <c r="D360" s="661" t="inlineStr">
        <is>
          <t>MIREA</t>
        </is>
      </c>
      <c r="E360" s="661" t="inlineStr">
        <is>
          <t>UEFB</t>
        </is>
      </c>
      <c r="F360" s="661" t="inlineStr">
        <is>
          <t>U-FIBER.75 OZ 23.5 INCH ROLL</t>
        </is>
      </c>
      <c r="G360" s="662" t="inlineStr">
        <is>
          <t>D</t>
        </is>
      </c>
      <c r="L360" s="663" t="e">
        <v>#REF!</v>
      </c>
    </row>
    <row r="361">
      <c r="B361" s="659" t="n">
        <v>74247</v>
      </c>
      <c r="C361" s="661" t="inlineStr">
        <is>
          <t>2019A</t>
        </is>
      </c>
      <c r="D361" s="661" t="inlineStr">
        <is>
          <t>MIREA</t>
        </is>
      </c>
      <c r="E361" s="661" t="inlineStr">
        <is>
          <t>UEFB</t>
        </is>
      </c>
      <c r="F361" s="661" t="inlineStr">
        <is>
          <t>U-FIBER.75 OZ 30 INCH ROLL</t>
        </is>
      </c>
      <c r="G361" s="662" t="inlineStr">
        <is>
          <t>D</t>
        </is>
      </c>
      <c r="L361" s="663" t="e">
        <v>#REF!</v>
      </c>
    </row>
    <row r="362">
      <c r="B362" s="659" t="n">
        <v>74273</v>
      </c>
      <c r="C362" s="661" t="inlineStr">
        <is>
          <t>2101A</t>
        </is>
      </c>
      <c r="D362" s="661" t="inlineStr">
        <is>
          <t>Fortune</t>
        </is>
      </c>
      <c r="E362" s="661" t="inlineStr">
        <is>
          <t>MIS</t>
        </is>
      </c>
      <c r="F362" s="661" t="inlineStr">
        <is>
          <t>SKIRT LINER 8.75</t>
        </is>
      </c>
      <c r="G362" s="662" t="inlineStr">
        <is>
          <t>I</t>
        </is>
      </c>
      <c r="H362" s="664" t="n">
        <v>1028</v>
      </c>
      <c r="I362" s="665" t="n">
        <v>0.0713</v>
      </c>
      <c r="J362" s="666" t="inlineStr">
        <is>
          <t>M</t>
        </is>
      </c>
      <c r="L362" s="663" t="e">
        <v>#REF!</v>
      </c>
    </row>
    <row r="363">
      <c r="B363" s="659" t="n">
        <v>74298</v>
      </c>
      <c r="C363" s="661" t="inlineStr">
        <is>
          <t>2051A</t>
        </is>
      </c>
      <c r="D363" s="661" t="inlineStr">
        <is>
          <t>ST PETER</t>
        </is>
      </c>
      <c r="E363" s="661" t="inlineStr">
        <is>
          <t>UEFB</t>
        </is>
      </c>
      <c r="F363" s="661" t="inlineStr">
        <is>
          <t>3 OZ LOWMELT FIBER 54 IN ROLL</t>
        </is>
      </c>
      <c r="G363" s="662" t="inlineStr">
        <is>
          <t>D</t>
        </is>
      </c>
      <c r="L363" s="663" t="e">
        <v>#REF!</v>
      </c>
    </row>
    <row r="364">
      <c r="B364" s="659" t="n">
        <v>74330</v>
      </c>
      <c r="C364" s="661" t="inlineStr">
        <is>
          <t>2001A</t>
        </is>
      </c>
      <c r="D364" s="661" t="inlineStr">
        <is>
          <t>EVERPIA</t>
        </is>
      </c>
      <c r="E364" s="661" t="inlineStr">
        <is>
          <t>UEFB</t>
        </is>
      </c>
      <c r="F364" s="661" t="inlineStr">
        <is>
          <t>0.9OZ 5/8"THICK HD FB W32"</t>
        </is>
      </c>
      <c r="G364" s="662" t="inlineStr">
        <is>
          <t>D</t>
        </is>
      </c>
      <c r="L364" s="663" t="e">
        <v>#REF!</v>
      </c>
    </row>
    <row r="365">
      <c r="B365" s="659" t="n">
        <v>743321</v>
      </c>
      <c r="C365" s="661" t="inlineStr">
        <is>
          <t>2021A</t>
        </is>
      </c>
      <c r="D365" s="661" t="inlineStr">
        <is>
          <t>SUPPER FOA</t>
        </is>
      </c>
      <c r="E365" s="661" t="inlineStr">
        <is>
          <t>UEPP</t>
        </is>
      </c>
      <c r="F365" s="661" t="inlineStr">
        <is>
          <t>1.0D 30C2200MM*2000MM*1000MM</t>
        </is>
      </c>
      <c r="G365" s="662" t="inlineStr">
        <is>
          <t>D</t>
        </is>
      </c>
      <c r="L365" s="663" t="e">
        <v>#REF!</v>
      </c>
    </row>
    <row r="366">
      <c r="B366" s="659" t="n">
        <v>74333</v>
      </c>
      <c r="C366" s="661" t="inlineStr">
        <is>
          <t>2001A</t>
        </is>
      </c>
      <c r="D366" s="661" t="inlineStr">
        <is>
          <t>EVERPIA</t>
        </is>
      </c>
      <c r="E366" s="661" t="inlineStr">
        <is>
          <t>UEFB</t>
        </is>
      </c>
      <c r="F366" s="661" t="inlineStr">
        <is>
          <t>0.9OZ 5/8"THICK HD FB W42"</t>
        </is>
      </c>
      <c r="G366" s="662" t="inlineStr">
        <is>
          <t>D</t>
        </is>
      </c>
      <c r="L366" s="663" t="e">
        <v>#REF!</v>
      </c>
    </row>
    <row r="367">
      <c r="B367" s="659" t="n">
        <v>74338</v>
      </c>
      <c r="C367" s="661" t="inlineStr">
        <is>
          <t>2001A</t>
        </is>
      </c>
      <c r="D367" s="661" t="inlineStr">
        <is>
          <t>EVERPIA</t>
        </is>
      </c>
      <c r="E367" s="661" t="inlineStr">
        <is>
          <t>UEFB</t>
        </is>
      </c>
      <c r="F367" s="661" t="inlineStr">
        <is>
          <t>0.9OZ 5/8"THICK HD FB W50"</t>
        </is>
      </c>
      <c r="G367" s="662" t="inlineStr">
        <is>
          <t>D</t>
        </is>
      </c>
      <c r="L367" s="663" t="e">
        <v>#REF!</v>
      </c>
    </row>
    <row r="368">
      <c r="B368" s="659" t="n">
        <v>74343</v>
      </c>
      <c r="C368" s="661" t="inlineStr">
        <is>
          <t>2001A</t>
        </is>
      </c>
      <c r="D368" s="661" t="inlineStr">
        <is>
          <t>EVERPIA</t>
        </is>
      </c>
      <c r="E368" s="661" t="inlineStr">
        <is>
          <t>UEFB</t>
        </is>
      </c>
      <c r="F368" s="661" t="inlineStr">
        <is>
          <t>0.9OZ 5/8" THK HD FB W62"</t>
        </is>
      </c>
      <c r="G368" s="662" t="inlineStr">
        <is>
          <t>D</t>
        </is>
      </c>
      <c r="L368" s="663" t="e">
        <v>#REF!</v>
      </c>
    </row>
    <row r="369">
      <c r="B369" s="659" t="n">
        <v>74344</v>
      </c>
      <c r="C369" s="661" t="inlineStr">
        <is>
          <t>2019A</t>
        </is>
      </c>
      <c r="D369" s="661" t="inlineStr">
        <is>
          <t>MIREA</t>
        </is>
      </c>
      <c r="E369" s="661" t="inlineStr">
        <is>
          <t>UEFB</t>
        </is>
      </c>
      <c r="F369" s="661" t="inlineStr">
        <is>
          <t>U-FIBER 2 OZ 68 INCH ROLL</t>
        </is>
      </c>
      <c r="G369" s="662" t="inlineStr">
        <is>
          <t>D</t>
        </is>
      </c>
      <c r="L369" s="663" t="e">
        <v>#REF!</v>
      </c>
    </row>
    <row r="370">
      <c r="B370" s="659" t="n">
        <v>74347</v>
      </c>
      <c r="C370" s="661" t="inlineStr">
        <is>
          <t>2019A</t>
        </is>
      </c>
      <c r="D370" s="661" t="inlineStr">
        <is>
          <t>MIREA</t>
        </is>
      </c>
      <c r="E370" s="661" t="inlineStr">
        <is>
          <t>UEFB</t>
        </is>
      </c>
      <c r="F370" s="661" t="inlineStr">
        <is>
          <t>0.8OZ 5/8"THK HD FB W=42"</t>
        </is>
      </c>
      <c r="G370" s="662" t="inlineStr">
        <is>
          <t>D</t>
        </is>
      </c>
      <c r="L370" s="663" t="e">
        <v>#REF!</v>
      </c>
    </row>
    <row r="371">
      <c r="B371" s="659" t="n">
        <v>74348</v>
      </c>
      <c r="C371" s="661" t="inlineStr">
        <is>
          <t>2019A</t>
        </is>
      </c>
      <c r="D371" s="661" t="inlineStr">
        <is>
          <t>MIREA</t>
        </is>
      </c>
      <c r="E371" s="661" t="inlineStr">
        <is>
          <t>UEFB</t>
        </is>
      </c>
      <c r="F371" s="661" t="inlineStr">
        <is>
          <t>0.8OZ 5/8"THK HD FB W=50"</t>
        </is>
      </c>
      <c r="G371" s="662" t="inlineStr">
        <is>
          <t>D</t>
        </is>
      </c>
      <c r="L371" s="663" t="e">
        <v>#REF!</v>
      </c>
    </row>
    <row r="372">
      <c r="B372" s="659" t="n">
        <v>74349</v>
      </c>
      <c r="C372" s="661" t="inlineStr">
        <is>
          <t>2019A</t>
        </is>
      </c>
      <c r="D372" s="661" t="inlineStr">
        <is>
          <t>MIREA</t>
        </is>
      </c>
      <c r="E372" s="661" t="inlineStr">
        <is>
          <t>UEFB</t>
        </is>
      </c>
      <c r="F372" s="661" t="inlineStr">
        <is>
          <t>0.8OZ 5/8"THK HD FB W=62"</t>
        </is>
      </c>
      <c r="G372" s="662" t="inlineStr">
        <is>
          <t>D</t>
        </is>
      </c>
      <c r="L372" s="663" t="e">
        <v>#REF!</v>
      </c>
    </row>
    <row r="373">
      <c r="B373" s="659" t="n">
        <v>74363</v>
      </c>
      <c r="C373" s="661" t="inlineStr">
        <is>
          <t>2051A</t>
        </is>
      </c>
      <c r="D373" s="661" t="inlineStr">
        <is>
          <t>ST PETER</t>
        </is>
      </c>
      <c r="E373" s="661" t="inlineStr">
        <is>
          <t>UEFB</t>
        </is>
      </c>
      <c r="F373" s="661" t="inlineStr">
        <is>
          <t>3 OZ LOWMELT FIBER 60 IN ROLL</t>
        </is>
      </c>
      <c r="G373" s="662" t="inlineStr">
        <is>
          <t>D</t>
        </is>
      </c>
      <c r="L373" s="663" t="e">
        <v>#REF!</v>
      </c>
    </row>
    <row r="374">
      <c r="B374" s="659" t="n">
        <v>74387</v>
      </c>
      <c r="C374" s="661" t="inlineStr">
        <is>
          <t>2019A</t>
        </is>
      </c>
      <c r="D374" s="661" t="inlineStr">
        <is>
          <t>MIREA</t>
        </is>
      </c>
      <c r="E374" s="661" t="inlineStr">
        <is>
          <t>UEFB</t>
        </is>
      </c>
      <c r="F374" s="661" t="inlineStr">
        <is>
          <t>U-FIBER 2 OZ 40 INCH ROLL</t>
        </is>
      </c>
      <c r="G374" s="662" t="inlineStr">
        <is>
          <t>D</t>
        </is>
      </c>
      <c r="L374" s="663" t="e">
        <v>#REF!</v>
      </c>
    </row>
    <row r="375">
      <c r="B375" s="659" t="n">
        <v>74470</v>
      </c>
      <c r="C375" s="661" t="inlineStr">
        <is>
          <t>2057A</t>
        </is>
      </c>
      <c r="D375" s="661" t="inlineStr">
        <is>
          <t>D.V.PHU</t>
        </is>
      </c>
      <c r="E375" s="661" t="inlineStr">
        <is>
          <t>MISN</t>
        </is>
      </c>
      <c r="F375" s="661" t="inlineStr">
        <is>
          <t>BLACK DOUBLE NEEDLE TAPE</t>
        </is>
      </c>
      <c r="G375" s="662" t="inlineStr">
        <is>
          <t>D</t>
        </is>
      </c>
      <c r="L375" s="663" t="e">
        <v>#REF!</v>
      </c>
    </row>
    <row r="376">
      <c r="B376" s="659" t="n">
        <v>74471</v>
      </c>
      <c r="C376" s="661" t="inlineStr">
        <is>
          <t>2057A</t>
        </is>
      </c>
      <c r="D376" s="661" t="inlineStr">
        <is>
          <t>D.V.PHU</t>
        </is>
      </c>
      <c r="E376" s="661" t="inlineStr">
        <is>
          <t>MISN</t>
        </is>
      </c>
      <c r="F376" s="661" t="inlineStr">
        <is>
          <t>WHT DBL NDL TAPE</t>
        </is>
      </c>
      <c r="G376" s="662" t="inlineStr">
        <is>
          <t>D</t>
        </is>
      </c>
      <c r="L376" s="663" t="e">
        <v>#REF!</v>
      </c>
    </row>
    <row r="377">
      <c r="B377" s="659" t="n">
        <v>74723</v>
      </c>
      <c r="C377" s="661" t="inlineStr">
        <is>
          <t>2101A</t>
        </is>
      </c>
      <c r="D377" s="661" t="inlineStr">
        <is>
          <t>Fortune</t>
        </is>
      </c>
      <c r="E377" s="661" t="inlineStr">
        <is>
          <t>RDN</t>
        </is>
      </c>
      <c r="F377" s="661" t="inlineStr">
        <is>
          <t>45 INCH BEIGE DENIM</t>
        </is>
      </c>
      <c r="G377" s="662" t="inlineStr">
        <is>
          <t>I</t>
        </is>
      </c>
      <c r="L377" s="663" t="e">
        <v>#REF!</v>
      </c>
    </row>
    <row r="378">
      <c r="B378" s="659" t="n">
        <v>74759</v>
      </c>
      <c r="C378" s="661" t="inlineStr">
        <is>
          <t>2003A</t>
        </is>
      </c>
      <c r="D378" s="661" t="inlineStr">
        <is>
          <t>HKK</t>
        </is>
      </c>
      <c r="E378" s="661" t="inlineStr">
        <is>
          <t>MIS</t>
        </is>
      </c>
      <c r="F378" s="661" t="inlineStr">
        <is>
          <t>BEIGE ZIPPER CHAIN</t>
        </is>
      </c>
      <c r="G378" s="662" t="inlineStr">
        <is>
          <t>D</t>
        </is>
      </c>
      <c r="H378" s="664" t="n">
        <v>1012</v>
      </c>
      <c r="I378" s="665" t="n">
        <v>0.054</v>
      </c>
      <c r="J378" s="666" t="inlineStr">
        <is>
          <t>M</t>
        </is>
      </c>
      <c r="L378" s="663" t="e">
        <v>#REF!</v>
      </c>
    </row>
    <row r="379">
      <c r="B379" s="659" t="n">
        <v>74760</v>
      </c>
      <c r="C379" s="661" t="inlineStr">
        <is>
          <t>2003A</t>
        </is>
      </c>
      <c r="D379" s="661" t="inlineStr">
        <is>
          <t>HKK</t>
        </is>
      </c>
      <c r="E379" s="661" t="inlineStr">
        <is>
          <t>MIS</t>
        </is>
      </c>
      <c r="F379" s="661" t="inlineStr">
        <is>
          <t>BEIGE ZIPPER SLIDE</t>
        </is>
      </c>
      <c r="G379" s="662" t="inlineStr">
        <is>
          <t>D</t>
        </is>
      </c>
      <c r="H379" s="664" t="n">
        <v>1013</v>
      </c>
      <c r="I379" s="665" t="n">
        <v>0.016</v>
      </c>
      <c r="J379" s="666" t="inlineStr">
        <is>
          <t>EA</t>
        </is>
      </c>
      <c r="L379" s="663" t="e">
        <v>#REF!</v>
      </c>
    </row>
    <row r="380">
      <c r="B380" s="659" t="n">
        <v>74761</v>
      </c>
      <c r="C380" s="661" t="inlineStr">
        <is>
          <t>3A</t>
        </is>
      </c>
      <c r="D380" s="661" t="inlineStr">
        <is>
          <t>Wanvog</t>
        </is>
      </c>
      <c r="E380" s="661" t="inlineStr">
        <is>
          <t>MIS</t>
        </is>
      </c>
      <c r="F380" s="661" t="inlineStr">
        <is>
          <t>3.2MM POLYESTER WELT</t>
        </is>
      </c>
      <c r="G380" s="662" t="inlineStr">
        <is>
          <t>I</t>
        </is>
      </c>
      <c r="L380" s="663" t="e">
        <v>#REF!</v>
      </c>
    </row>
    <row r="381">
      <c r="B381" s="659" t="n">
        <v>74762</v>
      </c>
      <c r="C381" s="661" t="inlineStr">
        <is>
          <t>3A</t>
        </is>
      </c>
      <c r="D381" s="661" t="inlineStr">
        <is>
          <t>Wanvog</t>
        </is>
      </c>
      <c r="E381" s="661" t="inlineStr">
        <is>
          <t>MIS</t>
        </is>
      </c>
      <c r="F381" s="661" t="inlineStr">
        <is>
          <t>5/32 PLASTIC WELT</t>
        </is>
      </c>
      <c r="G381" s="662" t="inlineStr">
        <is>
          <t>I</t>
        </is>
      </c>
      <c r="H381" s="664" t="n">
        <v>1032</v>
      </c>
      <c r="I381" s="665" t="n">
        <v>0.0242</v>
      </c>
      <c r="J381" s="666" t="inlineStr">
        <is>
          <t>M</t>
        </is>
      </c>
      <c r="L381" s="663" t="e">
        <v>#REF!</v>
      </c>
    </row>
    <row r="382">
      <c r="B382" s="659" t="n">
        <v>74764</v>
      </c>
      <c r="C382" s="661" t="inlineStr">
        <is>
          <t>2101A</t>
        </is>
      </c>
      <c r="D382" s="661" t="inlineStr">
        <is>
          <t>Fortune</t>
        </is>
      </c>
      <c r="E382" s="661" t="inlineStr">
        <is>
          <t>RDN</t>
        </is>
      </c>
      <c r="F382" s="661" t="inlineStr">
        <is>
          <t>45 INCH BLACK DENIM</t>
        </is>
      </c>
      <c r="G382" s="662" t="inlineStr">
        <is>
          <t>I</t>
        </is>
      </c>
      <c r="L382" s="663" t="e">
        <v>#REF!</v>
      </c>
    </row>
    <row r="383">
      <c r="B383" s="659" t="n">
        <v>74933</v>
      </c>
      <c r="C383" s="661" t="inlineStr">
        <is>
          <t>2058A</t>
        </is>
      </c>
      <c r="D383" s="661" t="inlineStr">
        <is>
          <t>VISON</t>
        </is>
      </c>
      <c r="E383" s="661" t="inlineStr">
        <is>
          <t>ELIT</t>
        </is>
      </c>
      <c r="F383" s="661" t="inlineStr">
        <is>
          <t>U-ELITE40"X2.OZ BLACK 70G</t>
        </is>
      </c>
      <c r="G383" s="662" t="inlineStr">
        <is>
          <t>D</t>
        </is>
      </c>
      <c r="L383" s="663" t="e">
        <v>#REF!</v>
      </c>
    </row>
    <row r="384">
      <c r="B384" s="659" t="n">
        <v>74934</v>
      </c>
      <c r="C384" s="661" t="inlineStr">
        <is>
          <t>2057A</t>
        </is>
      </c>
      <c r="D384" s="661" t="inlineStr">
        <is>
          <t>D.V.PHU</t>
        </is>
      </c>
      <c r="E384" s="661" t="inlineStr">
        <is>
          <t>ELIT</t>
        </is>
      </c>
      <c r="F384" s="661" t="inlineStr">
        <is>
          <t>U-ELITE45"X2.OZ BLACK 70G</t>
        </is>
      </c>
      <c r="G384" s="662" t="inlineStr">
        <is>
          <t>D</t>
        </is>
      </c>
      <c r="L384" s="663" t="e">
        <v>#REF!</v>
      </c>
    </row>
    <row r="385">
      <c r="B385" s="659" t="n">
        <v>74935</v>
      </c>
      <c r="C385" s="661" t="inlineStr">
        <is>
          <t>2057A</t>
        </is>
      </c>
      <c r="D385" s="661" t="inlineStr">
        <is>
          <t>D.V.PHU</t>
        </is>
      </c>
      <c r="E385" s="661" t="inlineStr">
        <is>
          <t>ELIT</t>
        </is>
      </c>
      <c r="F385" s="661" t="inlineStr">
        <is>
          <t>U-ELITE55"X2.OZ BLACK 70G</t>
        </is>
      </c>
      <c r="G385" s="662" t="inlineStr">
        <is>
          <t>D</t>
        </is>
      </c>
      <c r="L385" s="663" t="e">
        <v>#REF!</v>
      </c>
    </row>
    <row r="386">
      <c r="B386" s="659" t="n">
        <v>74942</v>
      </c>
      <c r="C386" s="661" t="inlineStr">
        <is>
          <t>2057A</t>
        </is>
      </c>
      <c r="D386" s="661" t="inlineStr">
        <is>
          <t>D.V.PHU</t>
        </is>
      </c>
      <c r="E386" s="661" t="inlineStr">
        <is>
          <t>ELIT</t>
        </is>
      </c>
      <c r="F386" s="661" t="inlineStr">
        <is>
          <t>U-ELITE60"X2.OZ BLACK 70G</t>
        </is>
      </c>
      <c r="G386" s="662" t="inlineStr">
        <is>
          <t>D</t>
        </is>
      </c>
      <c r="L386" s="663" t="e">
        <v>#REF!</v>
      </c>
    </row>
    <row r="387">
      <c r="B387" s="659" t="n">
        <v>75040</v>
      </c>
      <c r="C387" s="661" t="inlineStr">
        <is>
          <t>2051A</t>
        </is>
      </c>
      <c r="D387" s="661" t="inlineStr">
        <is>
          <t>ST PETER</t>
        </is>
      </c>
      <c r="E387" s="661" t="inlineStr">
        <is>
          <t>UEFB</t>
        </is>
      </c>
      <c r="F387" s="661" t="inlineStr">
        <is>
          <t>3 OZ LOWMELT FIBER 64 IN ROLL</t>
        </is>
      </c>
      <c r="G387" s="662" t="inlineStr">
        <is>
          <t>D</t>
        </is>
      </c>
      <c r="L387" s="663" t="e">
        <v>#REF!</v>
      </c>
    </row>
    <row r="388">
      <c r="B388" s="659" t="inlineStr">
        <is>
          <t>75725P</t>
        </is>
      </c>
      <c r="C388" s="661" t="inlineStr">
        <is>
          <t>3A</t>
        </is>
      </c>
      <c r="D388" s="661" t="inlineStr">
        <is>
          <t>Wanvog</t>
        </is>
      </c>
      <c r="E388" s="661" t="inlineStr">
        <is>
          <t>UEUS</t>
        </is>
      </c>
      <c r="F388" s="661" t="inlineStr">
        <is>
          <t>CHRISTMAS TREE CLIP</t>
        </is>
      </c>
      <c r="G388" s="662" t="inlineStr">
        <is>
          <t>I</t>
        </is>
      </c>
      <c r="H388" s="664" t="n">
        <v>1036</v>
      </c>
      <c r="I388" s="665" t="n">
        <v>0.026</v>
      </c>
      <c r="J388" s="666" t="inlineStr">
        <is>
          <t>EA</t>
        </is>
      </c>
      <c r="L388" s="663" t="e">
        <v>#REF!</v>
      </c>
    </row>
    <row r="389">
      <c r="B389" s="659" t="inlineStr">
        <is>
          <t>76922-RPP</t>
        </is>
      </c>
      <c r="C389" s="661" t="inlineStr">
        <is>
          <t>3A</t>
        </is>
      </c>
      <c r="D389" s="661" t="inlineStr">
        <is>
          <t>Wanvog</t>
        </is>
      </c>
      <c r="E389" s="661" t="inlineStr">
        <is>
          <t>WPLS</t>
        </is>
      </c>
      <c r="F389" s="661" t="inlineStr">
        <is>
          <t>BUTTON TUFTING PADDLE</t>
        </is>
      </c>
      <c r="G389" s="662" t="inlineStr">
        <is>
          <t>I</t>
        </is>
      </c>
      <c r="L389" s="663" t="e">
        <v>#REF!</v>
      </c>
    </row>
    <row r="390">
      <c r="B390" s="659" t="n">
        <v>79052</v>
      </c>
      <c r="C390" s="661" t="inlineStr">
        <is>
          <t>2057A</t>
        </is>
      </c>
      <c r="D390" s="661" t="inlineStr">
        <is>
          <t>D.V.PHU</t>
        </is>
      </c>
      <c r="E390" s="661" t="inlineStr">
        <is>
          <t>ELIT</t>
        </is>
      </c>
      <c r="F390" s="661" t="inlineStr">
        <is>
          <t>ELITE55"X1OZ WHITE 35G</t>
        </is>
      </c>
      <c r="G390" s="662" t="inlineStr">
        <is>
          <t>D</t>
        </is>
      </c>
      <c r="L390" s="663" t="e">
        <v>#REF!</v>
      </c>
    </row>
    <row r="391">
      <c r="B391" s="659" t="n">
        <v>79149</v>
      </c>
      <c r="C391" s="661" t="inlineStr">
        <is>
          <t>2101A</t>
        </is>
      </c>
      <c r="D391" s="661" t="inlineStr">
        <is>
          <t>Fortune</t>
        </is>
      </c>
      <c r="E391" s="661" t="inlineStr">
        <is>
          <t>MISN</t>
        </is>
      </c>
      <c r="F391" s="661" t="inlineStr">
        <is>
          <t>REINFORCEMENT BAND 1/2</t>
        </is>
      </c>
      <c r="G391" s="662" t="inlineStr">
        <is>
          <t>I</t>
        </is>
      </c>
      <c r="L391" s="663" t="e">
        <v>#REF!</v>
      </c>
    </row>
    <row r="392">
      <c r="B392" s="659" t="n">
        <v>79424</v>
      </c>
      <c r="C392" s="661" t="inlineStr">
        <is>
          <t>2111A</t>
        </is>
      </c>
      <c r="D392" s="661" t="inlineStr">
        <is>
          <t>BESTON</t>
        </is>
      </c>
      <c r="E392" s="661" t="inlineStr">
        <is>
          <t>RFRU</t>
        </is>
      </c>
      <c r="F392" s="661" t="inlineStr">
        <is>
          <t>F DURAHIDEONYX529/62875800</t>
        </is>
      </c>
      <c r="G392" s="662" t="inlineStr">
        <is>
          <t>I</t>
        </is>
      </c>
      <c r="H392" s="664" t="n">
        <v>1006</v>
      </c>
      <c r="I392" s="665" t="n">
        <v>2.4</v>
      </c>
      <c r="L392" s="663" t="e">
        <v>#REF!</v>
      </c>
    </row>
    <row r="393">
      <c r="B393" s="659" t="n">
        <v>79521</v>
      </c>
      <c r="C393" s="661" t="inlineStr">
        <is>
          <t>2019A</t>
        </is>
      </c>
      <c r="D393" s="661" t="inlineStr">
        <is>
          <t>MIREA</t>
        </is>
      </c>
      <c r="E393" s="661" t="inlineStr">
        <is>
          <t>UEFB</t>
        </is>
      </c>
      <c r="F393" s="661" t="inlineStr">
        <is>
          <t>2 OZ LOWMELT FIBER 53.5INCH</t>
        </is>
      </c>
      <c r="G393" s="662" t="inlineStr">
        <is>
          <t>D</t>
        </is>
      </c>
      <c r="L393" s="663" t="e">
        <v>#REF!</v>
      </c>
    </row>
    <row r="394">
      <c r="B394" s="659" t="n">
        <v>79780</v>
      </c>
      <c r="C394" s="661" t="inlineStr">
        <is>
          <t>1160A</t>
        </is>
      </c>
      <c r="D394" s="661" t="inlineStr">
        <is>
          <t>QIDA</t>
        </is>
      </c>
      <c r="E394" s="661" t="inlineStr">
        <is>
          <t>RFR</t>
        </is>
      </c>
      <c r="F394" s="661" t="inlineStr">
        <is>
          <t>F DURAPLUSHMOCHA 35503</t>
        </is>
      </c>
      <c r="G394" s="662" t="inlineStr">
        <is>
          <t>I</t>
        </is>
      </c>
      <c r="H394" s="664" t="n">
        <v>1002</v>
      </c>
      <c r="I394" s="665" t="n">
        <v>2.448</v>
      </c>
      <c r="L394" s="663" t="e">
        <v>#REF!</v>
      </c>
    </row>
    <row r="395">
      <c r="B395" s="659" t="n">
        <v>79790</v>
      </c>
      <c r="C395" s="661" t="inlineStr">
        <is>
          <t>2060A</t>
        </is>
      </c>
      <c r="D395" s="661" t="inlineStr">
        <is>
          <t>DAI NGOC</t>
        </is>
      </c>
      <c r="E395" s="661" t="inlineStr">
        <is>
          <t>UECD</t>
        </is>
      </c>
      <c r="F395" s="661" t="inlineStr">
        <is>
          <t>RECYCLE CARDBOARD 1.6X1100X800</t>
        </is>
      </c>
      <c r="G395" s="662" t="inlineStr">
        <is>
          <t>D</t>
        </is>
      </c>
      <c r="L395" s="663" t="e">
        <v>#REF!</v>
      </c>
    </row>
    <row r="396">
      <c r="B396" s="659" t="n">
        <v>79792</v>
      </c>
      <c r="C396" s="661" t="inlineStr">
        <is>
          <t>1160A</t>
        </is>
      </c>
      <c r="D396" s="661" t="inlineStr">
        <is>
          <t>QIDA</t>
        </is>
      </c>
      <c r="E396" s="661" t="inlineStr">
        <is>
          <t>RFR</t>
        </is>
      </c>
      <c r="F396" s="661" t="inlineStr">
        <is>
          <t>F DURAPLUHSAGE13912</t>
        </is>
      </c>
      <c r="G396" s="662" t="inlineStr">
        <is>
          <t>I</t>
        </is>
      </c>
      <c r="L396" s="663" t="e">
        <v>#REF!</v>
      </c>
    </row>
    <row r="397">
      <c r="B397" s="659" t="n">
        <v>79802</v>
      </c>
      <c r="C397" s="661" t="inlineStr">
        <is>
          <t>1160A</t>
        </is>
      </c>
      <c r="D397" s="661" t="inlineStr">
        <is>
          <t>QIDA</t>
        </is>
      </c>
      <c r="E397" s="661" t="inlineStr">
        <is>
          <t>RFR</t>
        </is>
      </c>
      <c r="F397" s="661" t="inlineStr">
        <is>
          <t>F BASKETWEAVEOLIVE31702</t>
        </is>
      </c>
      <c r="G397" s="662" t="inlineStr">
        <is>
          <t>I</t>
        </is>
      </c>
      <c r="L397" s="663" t="e">
        <v>#REF!</v>
      </c>
    </row>
    <row r="398">
      <c r="B398" s="659" t="n">
        <v>79803</v>
      </c>
      <c r="C398" s="661" t="inlineStr">
        <is>
          <t>1160A</t>
        </is>
      </c>
      <c r="D398" s="661" t="inlineStr">
        <is>
          <t>QIDA</t>
        </is>
      </c>
      <c r="E398" s="661" t="inlineStr">
        <is>
          <t>RFRP</t>
        </is>
      </c>
      <c r="F398" s="661" t="inlineStr">
        <is>
          <t>F BASKETWEAVEKHAKI31702/31705</t>
        </is>
      </c>
      <c r="G398" s="662" t="inlineStr">
        <is>
          <t>I</t>
        </is>
      </c>
      <c r="L398" s="663" t="e">
        <v>#REF!</v>
      </c>
    </row>
    <row r="399">
      <c r="B399" s="659" t="n">
        <v>79805</v>
      </c>
      <c r="C399" s="661" t="inlineStr">
        <is>
          <t>2106A</t>
        </is>
      </c>
      <c r="D399" s="661" t="inlineStr">
        <is>
          <t>OMNOVA</t>
        </is>
      </c>
      <c r="E399" s="661" t="inlineStr">
        <is>
          <t>RFRU</t>
        </is>
      </c>
      <c r="F399" s="661" t="inlineStr">
        <is>
          <t>F DURAHIDEBICASTBROWN 35503</t>
        </is>
      </c>
      <c r="G399" s="662" t="inlineStr">
        <is>
          <t>I</t>
        </is>
      </c>
      <c r="L399" s="663" t="e">
        <v>#REF!</v>
      </c>
    </row>
    <row r="400">
      <c r="B400" s="659" t="n">
        <v>79825</v>
      </c>
      <c r="C400" s="661" t="inlineStr">
        <is>
          <t>3A</t>
        </is>
      </c>
      <c r="D400" s="661" t="inlineStr">
        <is>
          <t>Wanvog</t>
        </is>
      </c>
      <c r="E400" s="661" t="inlineStr">
        <is>
          <t>RFR</t>
        </is>
      </c>
      <c r="F400" s="661" t="inlineStr">
        <is>
          <t>F BURLINTONSIENNA32601</t>
        </is>
      </c>
      <c r="G400" s="662" t="inlineStr">
        <is>
          <t>I</t>
        </is>
      </c>
      <c r="L400" s="663" t="e">
        <v>#REF!</v>
      </c>
    </row>
    <row r="401">
      <c r="B401" s="659" t="n">
        <v>79830</v>
      </c>
      <c r="C401" s="661" t="inlineStr">
        <is>
          <t>3A</t>
        </is>
      </c>
      <c r="D401" s="661" t="inlineStr">
        <is>
          <t>Wanvog</t>
        </is>
      </c>
      <c r="E401" s="661" t="inlineStr">
        <is>
          <t>RFRP</t>
        </is>
      </c>
      <c r="F401" s="661" t="inlineStr">
        <is>
          <t>F DOODLEDEE 83401/35102</t>
        </is>
      </c>
      <c r="G401" s="662" t="inlineStr">
        <is>
          <t>I</t>
        </is>
      </c>
      <c r="L401" s="663" t="e">
        <v>#REF!</v>
      </c>
    </row>
    <row r="402">
      <c r="B402" s="659" t="n">
        <v>79853</v>
      </c>
      <c r="C402" s="661" t="inlineStr">
        <is>
          <t>2057A</t>
        </is>
      </c>
      <c r="D402" s="661" t="inlineStr">
        <is>
          <t>D.V.PHU</t>
        </is>
      </c>
      <c r="E402" s="661" t="inlineStr">
        <is>
          <t>ELIT</t>
        </is>
      </c>
      <c r="F402" s="661" t="inlineStr">
        <is>
          <t>ELITE35"X1OZ WHITE 35G</t>
        </is>
      </c>
      <c r="G402" s="662" t="inlineStr">
        <is>
          <t>D</t>
        </is>
      </c>
      <c r="L402" s="663" t="e">
        <v>#REF!</v>
      </c>
    </row>
    <row r="403">
      <c r="B403" s="659" t="n">
        <v>79937</v>
      </c>
      <c r="C403" s="661" t="inlineStr">
        <is>
          <t>2019A</t>
        </is>
      </c>
      <c r="D403" s="661" t="inlineStr">
        <is>
          <t>MIREA</t>
        </is>
      </c>
      <c r="E403" s="661" t="inlineStr">
        <is>
          <t>UEFB</t>
        </is>
      </c>
      <c r="F403" s="661" t="inlineStr">
        <is>
          <t>U-FIBER 40IN*.75OZ/SQFT LOWMET</t>
        </is>
      </c>
      <c r="G403" s="662" t="inlineStr">
        <is>
          <t>D</t>
        </is>
      </c>
      <c r="L403" s="663" t="e">
        <v>#REF!</v>
      </c>
    </row>
    <row r="404">
      <c r="B404" s="659" t="n">
        <v>79972</v>
      </c>
      <c r="C404" s="661" t="inlineStr">
        <is>
          <t>3A</t>
        </is>
      </c>
      <c r="D404" s="661" t="inlineStr">
        <is>
          <t>Wanvog</t>
        </is>
      </c>
      <c r="E404" s="661" t="inlineStr">
        <is>
          <t>RFRP</t>
        </is>
      </c>
      <c r="F404" s="661" t="inlineStr">
        <is>
          <t>F MEDINABROWN20603</t>
        </is>
      </c>
      <c r="G404" s="662" t="inlineStr">
        <is>
          <t>I</t>
        </is>
      </c>
      <c r="H404" s="664" t="n">
        <v>1043</v>
      </c>
      <c r="I404" s="665" t="n">
        <v>5.81</v>
      </c>
      <c r="L404" s="663" t="e">
        <v>#REF!</v>
      </c>
    </row>
    <row r="405">
      <c r="B405" s="659" t="n">
        <v>280090</v>
      </c>
      <c r="C405" s="661" t="inlineStr">
        <is>
          <t>2128A</t>
        </is>
      </c>
      <c r="D405" s="661" t="inlineStr">
        <is>
          <t>XINCHI</t>
        </is>
      </c>
      <c r="E405" s="661" t="inlineStr">
        <is>
          <t>WOOD</t>
        </is>
      </c>
      <c r="F405" s="661" t="inlineStr">
        <is>
          <t>CARB PLYWOOD 2440X1220X12MM</t>
        </is>
      </c>
      <c r="G405" s="662" t="inlineStr">
        <is>
          <t>I</t>
        </is>
      </c>
      <c r="H405" s="664" t="n">
        <v>1055</v>
      </c>
      <c r="I405" s="665" t="n">
        <v>11.0604</v>
      </c>
      <c r="J405" s="666" t="inlineStr">
        <is>
          <t>EA</t>
        </is>
      </c>
      <c r="L405" s="663" t="e">
        <v>#REF!</v>
      </c>
    </row>
    <row r="406">
      <c r="B406" s="659" t="inlineStr">
        <is>
          <t>CH-GL0903WV</t>
        </is>
      </c>
      <c r="C406" s="661" t="inlineStr">
        <is>
          <t>2127A</t>
        </is>
      </c>
      <c r="D406" s="661" t="inlineStr">
        <is>
          <t>CHUN HUA</t>
        </is>
      </c>
      <c r="E406" s="661" t="inlineStr">
        <is>
          <t>RFMI</t>
        </is>
      </c>
      <c r="F406" s="661" t="inlineStr">
        <is>
          <t>BLACK-BROWN DYE FOR GLAZE CH</t>
        </is>
      </c>
      <c r="G406" s="662" t="inlineStr">
        <is>
          <t>I</t>
        </is>
      </c>
      <c r="H406" s="664" t="n">
        <v>1058</v>
      </c>
      <c r="I406" s="665" t="n">
        <v>10.69</v>
      </c>
      <c r="J406" s="666" t="inlineStr">
        <is>
          <t>KG</t>
        </is>
      </c>
      <c r="L406" s="663" t="e">
        <v>#REF!</v>
      </c>
    </row>
    <row r="407">
      <c r="B407" s="659" t="n">
        <v>111382</v>
      </c>
      <c r="C407" s="661" t="inlineStr">
        <is>
          <t>2109A</t>
        </is>
      </c>
      <c r="D407" s="661" t="inlineStr">
        <is>
          <t>ZhongWang</t>
        </is>
      </c>
      <c r="E407" s="661" t="inlineStr">
        <is>
          <t>RFRP</t>
        </is>
      </c>
      <c r="F407" s="661" t="inlineStr">
        <is>
          <t>F CALABRIA UMBER 12100</t>
        </is>
      </c>
      <c r="G407" s="662" t="inlineStr">
        <is>
          <t>I</t>
        </is>
      </c>
      <c r="H407" s="664" t="n">
        <v>1002</v>
      </c>
      <c r="I407" s="665" t="n">
        <v>9.630000000000001</v>
      </c>
      <c r="L407" s="663" t="e">
        <v>#REF!</v>
      </c>
    </row>
    <row r="408">
      <c r="B408" s="659" t="n">
        <v>111389</v>
      </c>
      <c r="C408" s="661" t="inlineStr">
        <is>
          <t>2118A</t>
        </is>
      </c>
      <c r="D408" s="661" t="inlineStr">
        <is>
          <t>LONGXIANG</t>
        </is>
      </c>
      <c r="E408" s="661" t="inlineStr">
        <is>
          <t>RFR</t>
        </is>
      </c>
      <c r="F408" s="661" t="inlineStr">
        <is>
          <t>F MAYTIME PUTTY (DOE) 17900</t>
        </is>
      </c>
      <c r="G408" s="662" t="inlineStr">
        <is>
          <t>I</t>
        </is>
      </c>
      <c r="H408" s="664" t="n">
        <v>1002</v>
      </c>
      <c r="I408" s="665" t="n">
        <v>3.87</v>
      </c>
      <c r="K408" t="inlineStr">
        <is>
          <t>PZ50227</t>
        </is>
      </c>
      <c r="L408" s="663" t="e">
        <v>#REF!</v>
      </c>
    </row>
    <row r="409">
      <c r="B409" s="659" t="n">
        <v>111381</v>
      </c>
      <c r="C409" s="661" t="inlineStr">
        <is>
          <t>2110A</t>
        </is>
      </c>
      <c r="D409" s="661" t="inlineStr">
        <is>
          <t>NICELINK</t>
        </is>
      </c>
      <c r="E409" s="661" t="inlineStr">
        <is>
          <t>RFR</t>
        </is>
      </c>
      <c r="F409" s="661" t="inlineStr">
        <is>
          <t>F Sirilio Java 12100</t>
        </is>
      </c>
      <c r="G409" s="662" t="inlineStr">
        <is>
          <t>I</t>
        </is>
      </c>
      <c r="H409" s="664" t="n">
        <v>1088</v>
      </c>
      <c r="I409" s="665" t="n">
        <v>3.28</v>
      </c>
      <c r="L409" s="663" t="e">
        <v>#REF!</v>
      </c>
    </row>
    <row r="410">
      <c r="B410" s="659" t="inlineStr">
        <is>
          <t>CH-NS9253WV</t>
        </is>
      </c>
      <c r="C410" s="661" t="inlineStr">
        <is>
          <t>2127A</t>
        </is>
      </c>
      <c r="D410" s="661" t="inlineStr">
        <is>
          <t>CHUN HUA</t>
        </is>
      </c>
      <c r="E410" s="661" t="inlineStr">
        <is>
          <t>RFMI</t>
        </is>
      </c>
      <c r="F410" s="661" t="inlineStr">
        <is>
          <t>Orange Tint</t>
        </is>
      </c>
      <c r="G410" s="662" t="inlineStr">
        <is>
          <t>I</t>
        </is>
      </c>
      <c r="H410" s="664" t="n">
        <v>1058</v>
      </c>
      <c r="I410" s="665" t="n">
        <v>4.29</v>
      </c>
      <c r="J410" s="666" t="inlineStr">
        <is>
          <t>KG</t>
        </is>
      </c>
      <c r="L410" s="663" t="e">
        <v>#REF!</v>
      </c>
    </row>
    <row r="411">
      <c r="B411" s="659" t="inlineStr">
        <is>
          <t>CH-RG0902WV</t>
        </is>
      </c>
      <c r="C411" s="661" t="inlineStr">
        <is>
          <t>2127A</t>
        </is>
      </c>
      <c r="D411" s="661" t="inlineStr">
        <is>
          <t>CHUN HUA</t>
        </is>
      </c>
      <c r="E411" s="661" t="inlineStr">
        <is>
          <t>RFMI</t>
        </is>
      </c>
      <c r="F411" s="661" t="inlineStr">
        <is>
          <t>Lacquer Thinner-5</t>
        </is>
      </c>
      <c r="G411" s="662" t="inlineStr">
        <is>
          <t>I</t>
        </is>
      </c>
      <c r="L411" s="663" t="e">
        <v>#REF!</v>
      </c>
    </row>
    <row r="412">
      <c r="B412" s="659" t="n">
        <v>111276</v>
      </c>
      <c r="C412" s="661" t="inlineStr">
        <is>
          <t>2136A</t>
        </is>
      </c>
      <c r="D412" s="661" t="inlineStr">
        <is>
          <t>JUNJIA</t>
        </is>
      </c>
      <c r="E412" s="661" t="inlineStr">
        <is>
          <t>RFR</t>
        </is>
      </c>
      <c r="F412" s="661" t="inlineStr">
        <is>
          <t>F LAKESHA(J206) TAUPE(3) 15201</t>
        </is>
      </c>
      <c r="G412" s="662" t="inlineStr">
        <is>
          <t>I</t>
        </is>
      </c>
      <c r="L412" s="663" t="e">
        <v>#REF!</v>
      </c>
    </row>
    <row r="413">
      <c r="B413" s="659" t="n">
        <v>111278</v>
      </c>
      <c r="C413" s="661" t="inlineStr">
        <is>
          <t>2118A</t>
        </is>
      </c>
      <c r="D413" s="661" t="inlineStr">
        <is>
          <t>LONGXIANG</t>
        </is>
      </c>
      <c r="E413" s="661" t="inlineStr">
        <is>
          <t>RFR</t>
        </is>
      </c>
      <c r="F413" s="661" t="inlineStr">
        <is>
          <t>F JARETH CAFE 15700</t>
        </is>
      </c>
      <c r="G413" s="662" t="inlineStr">
        <is>
          <t>I</t>
        </is>
      </c>
      <c r="H413" s="664" t="n">
        <v>1002</v>
      </c>
      <c r="I413" s="665" t="n">
        <v>2.65</v>
      </c>
      <c r="L413" s="663" t="e">
        <v>#REF!</v>
      </c>
    </row>
    <row r="414">
      <c r="B414" s="659" t="n">
        <v>180205</v>
      </c>
      <c r="C414" s="661" t="inlineStr">
        <is>
          <t>2106A</t>
        </is>
      </c>
      <c r="D414" s="661" t="inlineStr">
        <is>
          <t>OMNOVA</t>
        </is>
      </c>
      <c r="E414" s="661" t="inlineStr">
        <is>
          <t>RFRU</t>
        </is>
      </c>
      <c r="F414" s="661" t="inlineStr">
        <is>
          <t>F DURAHIDEBICASTBROWN 15700</t>
        </is>
      </c>
      <c r="G414" s="662" t="inlineStr">
        <is>
          <t>I</t>
        </is>
      </c>
      <c r="L414" s="663" t="e">
        <v>#REF!</v>
      </c>
    </row>
    <row r="415">
      <c r="B415" s="659" t="inlineStr">
        <is>
          <t>NBC-9345-754-AK</t>
        </is>
      </c>
      <c r="C415" s="661" t="inlineStr">
        <is>
          <t>2076A</t>
        </is>
      </c>
      <c r="D415" s="661" t="inlineStr">
        <is>
          <t>ALKANA</t>
        </is>
      </c>
      <c r="E415" s="661" t="inlineStr">
        <is>
          <t>RFMD</t>
        </is>
      </c>
      <c r="F415" s="661" t="inlineStr">
        <is>
          <t>754 NC BASE COAT</t>
        </is>
      </c>
      <c r="G415" s="662" t="inlineStr">
        <is>
          <t>D</t>
        </is>
      </c>
      <c r="L415" s="663" t="e">
        <v>#REF!</v>
      </c>
    </row>
    <row r="416">
      <c r="B416" s="659" t="inlineStr">
        <is>
          <t>GZ-9127-N570-AK</t>
        </is>
      </c>
      <c r="C416" s="661" t="inlineStr">
        <is>
          <t>2076A</t>
        </is>
      </c>
      <c r="D416" s="661" t="inlineStr">
        <is>
          <t>ALKANA</t>
        </is>
      </c>
      <c r="E416" s="661" t="inlineStr">
        <is>
          <t>RFMD</t>
        </is>
      </c>
      <c r="F416" s="661" t="inlineStr">
        <is>
          <t>Glaze B570</t>
        </is>
      </c>
      <c r="G416" s="662" t="inlineStr">
        <is>
          <t>D</t>
        </is>
      </c>
      <c r="L416" s="663" t="e">
        <v>#REF!</v>
      </c>
    </row>
    <row r="417">
      <c r="B417" s="659" t="inlineStr">
        <is>
          <t>NBC-9345-570-AK</t>
        </is>
      </c>
      <c r="C417" s="661" t="inlineStr">
        <is>
          <t>2076A</t>
        </is>
      </c>
      <c r="D417" s="661" t="inlineStr">
        <is>
          <t>ALKANA</t>
        </is>
      </c>
      <c r="E417" s="661" t="inlineStr">
        <is>
          <t>RFMD</t>
        </is>
      </c>
      <c r="F417" s="661" t="inlineStr">
        <is>
          <t>570 NC BASE COAT</t>
        </is>
      </c>
      <c r="G417" s="662" t="inlineStr">
        <is>
          <t>D</t>
        </is>
      </c>
      <c r="L417" s="663" t="e">
        <v>#REF!</v>
      </c>
    </row>
    <row r="418">
      <c r="B418" s="659" t="inlineStr">
        <is>
          <t>GZ-9127-N553-AK</t>
        </is>
      </c>
      <c r="C418" s="661" t="inlineStr">
        <is>
          <t>2076A</t>
        </is>
      </c>
      <c r="D418" s="661" t="inlineStr">
        <is>
          <t>ALKANA</t>
        </is>
      </c>
      <c r="E418" s="661" t="inlineStr">
        <is>
          <t>RFMD</t>
        </is>
      </c>
      <c r="F418" s="661" t="inlineStr">
        <is>
          <t>Glaze B553</t>
        </is>
      </c>
      <c r="G418" s="662" t="inlineStr">
        <is>
          <t>D</t>
        </is>
      </c>
      <c r="L418" s="663" t="e">
        <v>#REF!</v>
      </c>
    </row>
    <row r="419">
      <c r="B419" s="659" t="inlineStr">
        <is>
          <t>GZ-9127-N602-AK</t>
        </is>
      </c>
      <c r="C419" s="661" t="inlineStr">
        <is>
          <t>2076A</t>
        </is>
      </c>
      <c r="D419" s="661" t="inlineStr">
        <is>
          <t>ALKANA</t>
        </is>
      </c>
      <c r="E419" s="661" t="inlineStr">
        <is>
          <t>RFMD</t>
        </is>
      </c>
      <c r="F419" s="661" t="inlineStr">
        <is>
          <t>Glaze B602</t>
        </is>
      </c>
      <c r="G419" s="662" t="inlineStr">
        <is>
          <t>D</t>
        </is>
      </c>
      <c r="L419" s="663" t="e">
        <v>#REF!</v>
      </c>
    </row>
    <row r="420">
      <c r="B420" s="659" t="inlineStr">
        <is>
          <t>NBC-9345-602-AK</t>
        </is>
      </c>
      <c r="C420" s="661" t="inlineStr">
        <is>
          <t>2076A</t>
        </is>
      </c>
      <c r="D420" s="661" t="inlineStr">
        <is>
          <t>ALKANA</t>
        </is>
      </c>
      <c r="E420" s="661" t="inlineStr">
        <is>
          <t>RFMD</t>
        </is>
      </c>
      <c r="F420" s="661" t="inlineStr">
        <is>
          <t>602 NC BASE COAT</t>
        </is>
      </c>
      <c r="G420" s="662" t="inlineStr">
        <is>
          <t>D</t>
        </is>
      </c>
      <c r="L420" s="663" t="e">
        <v>#REF!</v>
      </c>
    </row>
    <row r="421">
      <c r="B421" s="659" t="inlineStr">
        <is>
          <t>SST-2111-RBE-AK</t>
        </is>
      </c>
      <c r="C421" s="661" t="inlineStr">
        <is>
          <t>2076A</t>
        </is>
      </c>
      <c r="D421" s="661" t="inlineStr">
        <is>
          <t>ALKANA</t>
        </is>
      </c>
      <c r="E421" s="661" t="inlineStr">
        <is>
          <t>RFMD</t>
        </is>
      </c>
      <c r="F421" s="661" t="inlineStr">
        <is>
          <t>Dye stain red BE</t>
        </is>
      </c>
      <c r="G421" s="662" t="inlineStr">
        <is>
          <t>D</t>
        </is>
      </c>
      <c r="L421" s="663" t="e">
        <v>#REF!</v>
      </c>
    </row>
    <row r="422">
      <c r="B422" s="659" t="inlineStr">
        <is>
          <t>NBC-9345-547-AK</t>
        </is>
      </c>
      <c r="C422" s="661" t="inlineStr">
        <is>
          <t>2076A</t>
        </is>
      </c>
      <c r="D422" s="661" t="inlineStr">
        <is>
          <t>ALKANA</t>
        </is>
      </c>
      <c r="E422" s="661" t="inlineStr">
        <is>
          <t>RFMD</t>
        </is>
      </c>
      <c r="F422" s="661" t="inlineStr">
        <is>
          <t>547 NC BASE COAT</t>
        </is>
      </c>
      <c r="G422" s="662" t="inlineStr">
        <is>
          <t>D</t>
        </is>
      </c>
      <c r="L422" s="663" t="e">
        <v>#REF!</v>
      </c>
    </row>
    <row r="423">
      <c r="B423" s="659" t="inlineStr">
        <is>
          <t>NBC-9345-747-AK</t>
        </is>
      </c>
      <c r="C423" s="661" t="inlineStr">
        <is>
          <t>2076A</t>
        </is>
      </c>
      <c r="D423" s="661" t="inlineStr">
        <is>
          <t>ALKANA</t>
        </is>
      </c>
      <c r="E423" s="661" t="inlineStr">
        <is>
          <t>RFMD</t>
        </is>
      </c>
      <c r="F423" s="661" t="inlineStr">
        <is>
          <t>747 NC BASE COAT</t>
        </is>
      </c>
      <c r="G423" s="662" t="inlineStr">
        <is>
          <t>D</t>
        </is>
      </c>
      <c r="L423" s="663" t="e">
        <v>#REF!</v>
      </c>
    </row>
    <row r="424">
      <c r="B424" s="659" t="inlineStr">
        <is>
          <t>NBC-9345-553-AK</t>
        </is>
      </c>
      <c r="C424" s="661" t="inlineStr">
        <is>
          <t>2076A</t>
        </is>
      </c>
      <c r="D424" s="661" t="inlineStr">
        <is>
          <t>ALKANA</t>
        </is>
      </c>
      <c r="E424" s="661" t="inlineStr">
        <is>
          <t>RFMD</t>
        </is>
      </c>
      <c r="F424" s="661" t="inlineStr">
        <is>
          <t>553 NC BASE COAT</t>
        </is>
      </c>
      <c r="G424" s="662" t="inlineStr">
        <is>
          <t>D</t>
        </is>
      </c>
      <c r="L424" s="663" t="e">
        <v>#REF!</v>
      </c>
    </row>
    <row r="425">
      <c r="B425" s="659" t="inlineStr">
        <is>
          <t>SST-2111-BU-AK</t>
        </is>
      </c>
      <c r="C425" s="661" t="inlineStr">
        <is>
          <t>2076A</t>
        </is>
      </c>
      <c r="D425" s="661" t="inlineStr">
        <is>
          <t>ALKANA</t>
        </is>
      </c>
      <c r="E425" s="661" t="inlineStr">
        <is>
          <t>RFMD</t>
        </is>
      </c>
      <c r="F425" s="661" t="inlineStr">
        <is>
          <t>Dye stain Blue</t>
        </is>
      </c>
      <c r="G425" s="662" t="inlineStr">
        <is>
          <t>D</t>
        </is>
      </c>
      <c r="L425" s="663" t="e">
        <v>#REF!</v>
      </c>
    </row>
    <row r="426">
      <c r="B426" s="659" t="inlineStr">
        <is>
          <t>SST-2111-YEL-AK</t>
        </is>
      </c>
      <c r="C426" s="661" t="inlineStr">
        <is>
          <t>2076A</t>
        </is>
      </c>
      <c r="D426" s="661" t="inlineStr">
        <is>
          <t>ALKANA</t>
        </is>
      </c>
      <c r="E426" s="661" t="inlineStr">
        <is>
          <t>RFMD</t>
        </is>
      </c>
      <c r="F426" s="661" t="inlineStr">
        <is>
          <t>Dye stain Yellow</t>
        </is>
      </c>
      <c r="G426" s="662" t="inlineStr">
        <is>
          <t>D</t>
        </is>
      </c>
      <c r="L426" s="663" t="e">
        <v>#REF!</v>
      </c>
    </row>
    <row r="427">
      <c r="B427" s="659" t="inlineStr">
        <is>
          <t>SST-2111-RED-AK</t>
        </is>
      </c>
      <c r="C427" s="661" t="inlineStr">
        <is>
          <t>2076A</t>
        </is>
      </c>
      <c r="D427" s="661" t="inlineStr">
        <is>
          <t>ALKANA</t>
        </is>
      </c>
      <c r="E427" s="661" t="inlineStr">
        <is>
          <t>RFMD</t>
        </is>
      </c>
      <c r="F427" s="661" t="inlineStr">
        <is>
          <t>Dye stain Red</t>
        </is>
      </c>
      <c r="G427" s="662" t="inlineStr">
        <is>
          <t>D</t>
        </is>
      </c>
      <c r="L427" s="663" t="e">
        <v>#REF!</v>
      </c>
    </row>
    <row r="428">
      <c r="B428" s="659" t="inlineStr">
        <is>
          <t>SST-2111-BL-AK</t>
        </is>
      </c>
      <c r="C428" s="661" t="inlineStr">
        <is>
          <t>2076A</t>
        </is>
      </c>
      <c r="D428" s="661" t="inlineStr">
        <is>
          <t>ALKANA</t>
        </is>
      </c>
      <c r="E428" s="661" t="inlineStr">
        <is>
          <t>RFMD</t>
        </is>
      </c>
      <c r="F428" s="661" t="inlineStr">
        <is>
          <t>Dye stain Black</t>
        </is>
      </c>
      <c r="G428" s="662" t="inlineStr">
        <is>
          <t>D</t>
        </is>
      </c>
      <c r="L428" s="663" t="e">
        <v>#REF!</v>
      </c>
    </row>
    <row r="429">
      <c r="B429" s="659" t="inlineStr">
        <is>
          <t>GZ-9127-N-RE-AK</t>
        </is>
      </c>
      <c r="C429" s="661" t="inlineStr">
        <is>
          <t>2076A</t>
        </is>
      </c>
      <c r="D429" s="661" t="inlineStr">
        <is>
          <t>ALKANA</t>
        </is>
      </c>
      <c r="E429" s="661" t="inlineStr">
        <is>
          <t>RFMD</t>
        </is>
      </c>
      <c r="F429" s="661" t="inlineStr">
        <is>
          <t>Glaze</t>
        </is>
      </c>
      <c r="G429" s="662" t="inlineStr">
        <is>
          <t>D</t>
        </is>
      </c>
      <c r="L429" s="663" t="e">
        <v>#REF!</v>
      </c>
    </row>
    <row r="430">
      <c r="B430" s="659" t="inlineStr">
        <is>
          <t>GZ-9127-N-YE-AK</t>
        </is>
      </c>
      <c r="C430" s="661" t="inlineStr">
        <is>
          <t>2076A</t>
        </is>
      </c>
      <c r="D430" s="661" t="inlineStr">
        <is>
          <t>ALKANA</t>
        </is>
      </c>
      <c r="E430" s="661" t="inlineStr">
        <is>
          <t>RFMD</t>
        </is>
      </c>
      <c r="F430" s="661" t="inlineStr">
        <is>
          <t>Glaze</t>
        </is>
      </c>
      <c r="G430" s="662" t="inlineStr">
        <is>
          <t>D</t>
        </is>
      </c>
      <c r="L430" s="663" t="e">
        <v>#REF!</v>
      </c>
    </row>
    <row r="431">
      <c r="B431" s="659" t="inlineStr">
        <is>
          <t>GZ-9127-N-BU-AK</t>
        </is>
      </c>
      <c r="C431" s="661" t="inlineStr">
        <is>
          <t>2076A</t>
        </is>
      </c>
      <c r="D431" s="661" t="inlineStr">
        <is>
          <t>ALKANA</t>
        </is>
      </c>
      <c r="E431" s="661" t="inlineStr">
        <is>
          <t>RFMD</t>
        </is>
      </c>
      <c r="F431" s="661" t="inlineStr">
        <is>
          <t>Glaze</t>
        </is>
      </c>
      <c r="G431" s="662" t="inlineStr">
        <is>
          <t>D</t>
        </is>
      </c>
      <c r="L431" s="663" t="e">
        <v>#REF!</v>
      </c>
    </row>
    <row r="432">
      <c r="B432" s="659" t="inlineStr">
        <is>
          <t>THPU-2713-06_AK</t>
        </is>
      </c>
      <c r="C432" s="661" t="inlineStr">
        <is>
          <t>2076A</t>
        </is>
      </c>
      <c r="D432" s="661" t="inlineStr">
        <is>
          <t>ALKANA</t>
        </is>
      </c>
      <c r="E432" s="661" t="inlineStr">
        <is>
          <t>RFMD</t>
        </is>
      </c>
      <c r="F432" s="661" t="inlineStr">
        <is>
          <t>PU thinner</t>
        </is>
      </c>
      <c r="G432" s="662" t="inlineStr">
        <is>
          <t>D</t>
        </is>
      </c>
      <c r="L432" s="663" t="e">
        <v>#REF!</v>
      </c>
    </row>
    <row r="433">
      <c r="B433" s="659" t="inlineStr">
        <is>
          <t>PUH-1561-33_AK</t>
        </is>
      </c>
      <c r="C433" s="661" t="inlineStr">
        <is>
          <t>2076A</t>
        </is>
      </c>
      <c r="D433" s="661" t="inlineStr">
        <is>
          <t>ALKANA</t>
        </is>
      </c>
      <c r="E433" s="661" t="inlineStr">
        <is>
          <t>RFMD</t>
        </is>
      </c>
      <c r="F433" s="661" t="inlineStr">
        <is>
          <t>PU hardener</t>
        </is>
      </c>
      <c r="G433" s="662" t="inlineStr">
        <is>
          <t>D</t>
        </is>
      </c>
      <c r="L433" s="663" t="e">
        <v>#REF!</v>
      </c>
    </row>
    <row r="434">
      <c r="B434" s="659" t="inlineStr">
        <is>
          <t>NCL-9408-40_AK</t>
        </is>
      </c>
      <c r="C434" s="661" t="inlineStr">
        <is>
          <t>2076A</t>
        </is>
      </c>
      <c r="D434" s="661" t="inlineStr">
        <is>
          <t>ALKANA</t>
        </is>
      </c>
      <c r="E434" s="661" t="inlineStr">
        <is>
          <t>RFMD</t>
        </is>
      </c>
      <c r="F434" s="661" t="inlineStr">
        <is>
          <t>NC topcoat 40 sheen</t>
        </is>
      </c>
      <c r="G434" s="662" t="inlineStr">
        <is>
          <t>D</t>
        </is>
      </c>
      <c r="L434" s="663" t="e">
        <v>#REF!</v>
      </c>
    </row>
    <row r="435">
      <c r="B435" s="659" t="inlineStr">
        <is>
          <t>NCL-9408-10_AK</t>
        </is>
      </c>
      <c r="C435" s="661" t="inlineStr">
        <is>
          <t>2076A</t>
        </is>
      </c>
      <c r="D435" s="661" t="inlineStr">
        <is>
          <t>ALKANA</t>
        </is>
      </c>
      <c r="E435" s="661" t="inlineStr">
        <is>
          <t>RFMD</t>
        </is>
      </c>
      <c r="F435" s="661" t="inlineStr">
        <is>
          <t>NC topcoat 10 sheen</t>
        </is>
      </c>
      <c r="G435" s="662" t="inlineStr">
        <is>
          <t>D</t>
        </is>
      </c>
      <c r="L435" s="663" t="e">
        <v>#REF!</v>
      </c>
    </row>
    <row r="436">
      <c r="B436" s="659" t="inlineStr">
        <is>
          <t>NCL-9408-30_AK</t>
        </is>
      </c>
      <c r="C436" s="661" t="inlineStr">
        <is>
          <t>2076A</t>
        </is>
      </c>
      <c r="D436" s="661" t="inlineStr">
        <is>
          <t>ALKANA</t>
        </is>
      </c>
      <c r="E436" s="661" t="inlineStr">
        <is>
          <t>RFMD</t>
        </is>
      </c>
      <c r="F436" s="661" t="inlineStr">
        <is>
          <t>NC topcoat 30 sheen</t>
        </is>
      </c>
      <c r="G436" s="662" t="inlineStr">
        <is>
          <t>D</t>
        </is>
      </c>
      <c r="L436" s="663" t="e">
        <v>#REF!</v>
      </c>
    </row>
    <row r="437">
      <c r="B437" s="659" t="inlineStr">
        <is>
          <t>GZ-9127-N-VD-AK</t>
        </is>
      </c>
      <c r="C437" s="661" t="inlineStr">
        <is>
          <t>2076A</t>
        </is>
      </c>
      <c r="D437" s="661" t="inlineStr">
        <is>
          <t>ALKANA</t>
        </is>
      </c>
      <c r="E437" s="661" t="inlineStr">
        <is>
          <t>RFMD</t>
        </is>
      </c>
      <c r="F437" s="661" t="inlineStr">
        <is>
          <t>Glaze</t>
        </is>
      </c>
      <c r="G437" s="662" t="inlineStr">
        <is>
          <t>D</t>
        </is>
      </c>
      <c r="L437" s="663" t="e">
        <v>#REF!</v>
      </c>
    </row>
    <row r="438">
      <c r="B438" s="659" t="inlineStr">
        <is>
          <t>SST-2111-RED_AK</t>
        </is>
      </c>
      <c r="C438" s="661" t="inlineStr">
        <is>
          <t>2076A</t>
        </is>
      </c>
      <c r="D438" s="661" t="inlineStr">
        <is>
          <t>ALKANA</t>
        </is>
      </c>
      <c r="E438" s="661" t="inlineStr">
        <is>
          <t>RFMD</t>
        </is>
      </c>
      <c r="F438" s="661" t="inlineStr">
        <is>
          <t>Dye stain Red</t>
        </is>
      </c>
      <c r="G438" s="662" t="inlineStr">
        <is>
          <t>D</t>
        </is>
      </c>
      <c r="L438" s="663" t="e">
        <v>#REF!</v>
      </c>
    </row>
    <row r="439">
      <c r="B439" s="659" t="inlineStr">
        <is>
          <t>SST-2111-BL_AK</t>
        </is>
      </c>
      <c r="C439" s="661" t="inlineStr">
        <is>
          <t>2076A</t>
        </is>
      </c>
      <c r="D439" s="661" t="inlineStr">
        <is>
          <t>ALKANA</t>
        </is>
      </c>
      <c r="E439" s="661" t="inlineStr">
        <is>
          <t>RFMD</t>
        </is>
      </c>
      <c r="F439" s="661" t="inlineStr">
        <is>
          <t>Dye stain Black</t>
        </is>
      </c>
      <c r="G439" s="662" t="inlineStr">
        <is>
          <t>D</t>
        </is>
      </c>
      <c r="L439" s="663" t="e">
        <v>#REF!</v>
      </c>
    </row>
    <row r="440">
      <c r="B440" s="659" t="inlineStr">
        <is>
          <t>SST-2111-YEL_AK</t>
        </is>
      </c>
      <c r="C440" s="661" t="inlineStr">
        <is>
          <t>2076A</t>
        </is>
      </c>
      <c r="D440" s="661" t="inlineStr">
        <is>
          <t>ALKANA</t>
        </is>
      </c>
      <c r="E440" s="661" t="inlineStr">
        <is>
          <t>RFMD</t>
        </is>
      </c>
      <c r="F440" s="661" t="inlineStr">
        <is>
          <t>Dye stain Yellow</t>
        </is>
      </c>
      <c r="G440" s="662" t="inlineStr">
        <is>
          <t>D</t>
        </is>
      </c>
      <c r="L440" s="663" t="e">
        <v>#REF!</v>
      </c>
    </row>
    <row r="441">
      <c r="B441" s="659" t="inlineStr">
        <is>
          <t>SST-2111-BU_AK</t>
        </is>
      </c>
      <c r="C441" s="661" t="inlineStr">
        <is>
          <t>2076A</t>
        </is>
      </c>
      <c r="D441" s="661" t="inlineStr">
        <is>
          <t>ALKANA</t>
        </is>
      </c>
      <c r="E441" s="661" t="inlineStr">
        <is>
          <t>RFMD</t>
        </is>
      </c>
      <c r="F441" s="661" t="inlineStr">
        <is>
          <t>Dye stain Blue</t>
        </is>
      </c>
      <c r="G441" s="662" t="inlineStr">
        <is>
          <t>D</t>
        </is>
      </c>
      <c r="L441" s="663" t="e">
        <v>#REF!</v>
      </c>
    </row>
    <row r="442">
      <c r="B442" s="659" t="inlineStr">
        <is>
          <t>NBC-9345-747_AK</t>
        </is>
      </c>
      <c r="C442" s="661" t="inlineStr">
        <is>
          <t>2076A</t>
        </is>
      </c>
      <c r="D442" s="661" t="inlineStr">
        <is>
          <t>ALKANA</t>
        </is>
      </c>
      <c r="E442" s="661" t="inlineStr">
        <is>
          <t>RFMD</t>
        </is>
      </c>
      <c r="F442" s="661" t="inlineStr">
        <is>
          <t>747 NC BASE COAT</t>
        </is>
      </c>
      <c r="G442" s="662" t="inlineStr">
        <is>
          <t>D</t>
        </is>
      </c>
      <c r="L442" s="663" t="e">
        <v>#REF!</v>
      </c>
    </row>
    <row r="443">
      <c r="B443" s="659" t="inlineStr">
        <is>
          <t>NBC-9345-754_AK</t>
        </is>
      </c>
      <c r="C443" s="661" t="inlineStr">
        <is>
          <t>2076A</t>
        </is>
      </c>
      <c r="D443" s="661" t="inlineStr">
        <is>
          <t>ALKANA</t>
        </is>
      </c>
      <c r="E443" s="661" t="inlineStr">
        <is>
          <t>RFMD</t>
        </is>
      </c>
      <c r="F443" s="661" t="inlineStr">
        <is>
          <t>754 NC BASE COAT</t>
        </is>
      </c>
      <c r="G443" s="662" t="inlineStr">
        <is>
          <t>D</t>
        </is>
      </c>
      <c r="L443" s="663" t="e">
        <v>#REF!</v>
      </c>
    </row>
    <row r="444">
      <c r="B444" s="659" t="inlineStr">
        <is>
          <t>SST-2111-RBE_AK</t>
        </is>
      </c>
      <c r="C444" s="661" t="inlineStr">
        <is>
          <t>2076A</t>
        </is>
      </c>
      <c r="D444" s="661" t="inlineStr">
        <is>
          <t>ALKANA</t>
        </is>
      </c>
      <c r="E444" s="661" t="inlineStr">
        <is>
          <t>RFMD</t>
        </is>
      </c>
      <c r="F444" s="661" t="inlineStr">
        <is>
          <t>Dye stain red BE</t>
        </is>
      </c>
      <c r="G444" s="662" t="inlineStr">
        <is>
          <t>D</t>
        </is>
      </c>
      <c r="L444" s="663" t="e">
        <v>#REF!</v>
      </c>
    </row>
    <row r="445">
      <c r="B445" s="659" t="inlineStr">
        <is>
          <t>THC-2731-101_AK</t>
        </is>
      </c>
      <c r="C445" s="661" t="inlineStr">
        <is>
          <t>2076A</t>
        </is>
      </c>
      <c r="D445" s="661" t="inlineStr">
        <is>
          <t>ALKANA</t>
        </is>
      </c>
      <c r="E445" s="661" t="inlineStr">
        <is>
          <t>RFMD</t>
        </is>
      </c>
      <c r="F445" s="661" t="inlineStr">
        <is>
          <t>Alcohol thinner</t>
        </is>
      </c>
      <c r="G445" s="662" t="inlineStr">
        <is>
          <t>D</t>
        </is>
      </c>
      <c r="L445" s="663" t="e">
        <v>#REF!</v>
      </c>
    </row>
    <row r="446">
      <c r="B446" s="659" t="inlineStr">
        <is>
          <t>PUP-1521-570_AK</t>
        </is>
      </c>
      <c r="C446" s="661" t="inlineStr">
        <is>
          <t>2076A</t>
        </is>
      </c>
      <c r="D446" s="661" t="inlineStr">
        <is>
          <t>ALKANA</t>
        </is>
      </c>
      <c r="E446" s="661" t="inlineStr">
        <is>
          <t>RFMD</t>
        </is>
      </c>
      <c r="F446" s="661" t="inlineStr">
        <is>
          <t>PU Primer</t>
        </is>
      </c>
      <c r="G446" s="662" t="inlineStr">
        <is>
          <t>D</t>
        </is>
      </c>
      <c r="L446" s="663" t="e">
        <v>#REF!</v>
      </c>
    </row>
    <row r="447">
      <c r="B447" s="659" t="inlineStr">
        <is>
          <t>NCSS-9308-LC_AK</t>
        </is>
      </c>
      <c r="C447" s="661" t="inlineStr">
        <is>
          <t>2076A</t>
        </is>
      </c>
      <c r="D447" s="661" t="inlineStr">
        <is>
          <t>ALKANA</t>
        </is>
      </c>
      <c r="E447" s="661" t="inlineStr">
        <is>
          <t>RFMD</t>
        </is>
      </c>
      <c r="F447" s="661" t="inlineStr">
        <is>
          <t>NC sealer</t>
        </is>
      </c>
      <c r="G447" s="662" t="inlineStr">
        <is>
          <t>D</t>
        </is>
      </c>
      <c r="L447" s="663" t="e">
        <v>#REF!</v>
      </c>
    </row>
    <row r="448">
      <c r="B448" s="659" t="inlineStr">
        <is>
          <t>NCL-9408-20_AK</t>
        </is>
      </c>
      <c r="C448" s="661" t="inlineStr">
        <is>
          <t>2076A</t>
        </is>
      </c>
      <c r="D448" s="661" t="inlineStr">
        <is>
          <t>ALKANA</t>
        </is>
      </c>
      <c r="E448" s="661" t="inlineStr">
        <is>
          <t>RFMD</t>
        </is>
      </c>
      <c r="F448" s="661" t="inlineStr">
        <is>
          <t>NC topcoat 20 sheen</t>
        </is>
      </c>
      <c r="G448" s="662" t="inlineStr">
        <is>
          <t>D</t>
        </is>
      </c>
      <c r="L448" s="663" t="e">
        <v>#REF!</v>
      </c>
    </row>
    <row r="449">
      <c r="B449" s="659" t="inlineStr">
        <is>
          <t>GZ-9127-N-BL_AK</t>
        </is>
      </c>
      <c r="C449" s="661" t="inlineStr">
        <is>
          <t>2076A</t>
        </is>
      </c>
      <c r="D449" s="661" t="inlineStr">
        <is>
          <t>ALKANA</t>
        </is>
      </c>
      <c r="E449" s="661" t="inlineStr">
        <is>
          <t>RFMD</t>
        </is>
      </c>
      <c r="F449" s="661" t="inlineStr">
        <is>
          <t>Glaze</t>
        </is>
      </c>
      <c r="G449" s="662" t="inlineStr">
        <is>
          <t>D</t>
        </is>
      </c>
      <c r="L449" s="663" t="e">
        <v>#REF!</v>
      </c>
    </row>
    <row r="450">
      <c r="B450" s="659" t="inlineStr">
        <is>
          <t>THGZ-2722_AK</t>
        </is>
      </c>
      <c r="C450" s="661" t="inlineStr">
        <is>
          <t>2076A</t>
        </is>
      </c>
      <c r="D450" s="661" t="inlineStr">
        <is>
          <t>ALKANA</t>
        </is>
      </c>
      <c r="E450" s="661" t="inlineStr">
        <is>
          <t>RFMD</t>
        </is>
      </c>
      <c r="F450" s="661" t="inlineStr">
        <is>
          <t>Glaze thinner</t>
        </is>
      </c>
      <c r="G450" s="662" t="inlineStr">
        <is>
          <t>D</t>
        </is>
      </c>
      <c r="L450" s="663" t="e">
        <v>#REF!</v>
      </c>
    </row>
    <row r="451">
      <c r="B451" s="659" t="inlineStr">
        <is>
          <t>LOL-1762_AK</t>
        </is>
      </c>
      <c r="C451" s="661" t="inlineStr">
        <is>
          <t>2076A</t>
        </is>
      </c>
      <c r="D451" s="661" t="inlineStr">
        <is>
          <t>ALKANA</t>
        </is>
      </c>
      <c r="E451" s="661" t="inlineStr">
        <is>
          <t>RFMD</t>
        </is>
      </c>
      <c r="F451" s="661" t="inlineStr">
        <is>
          <t>retarder for glaze</t>
        </is>
      </c>
      <c r="G451" s="662" t="inlineStr">
        <is>
          <t>D</t>
        </is>
      </c>
      <c r="L451" s="663" t="e">
        <v>#REF!</v>
      </c>
    </row>
    <row r="452">
      <c r="B452" s="659" t="inlineStr">
        <is>
          <t>THNC-2711-SD_AK</t>
        </is>
      </c>
      <c r="C452" s="661" t="inlineStr">
        <is>
          <t>2076A</t>
        </is>
      </c>
      <c r="D452" s="661" t="inlineStr">
        <is>
          <t>ALKANA</t>
        </is>
      </c>
      <c r="E452" s="661" t="inlineStr">
        <is>
          <t>RFMD</t>
        </is>
      </c>
      <c r="F452" s="661" t="inlineStr">
        <is>
          <t>NC thinner</t>
        </is>
      </c>
      <c r="G452" s="662" t="inlineStr">
        <is>
          <t>D</t>
        </is>
      </c>
      <c r="L452" s="663" t="e">
        <v>#REF!</v>
      </c>
    </row>
    <row r="453">
      <c r="B453" s="659" t="n">
        <v>111283</v>
      </c>
      <c r="C453" s="661" t="inlineStr">
        <is>
          <t>2118A</t>
        </is>
      </c>
      <c r="D453" s="661" t="inlineStr">
        <is>
          <t>LONGXIANG</t>
        </is>
      </c>
      <c r="E453" s="661" t="inlineStr">
        <is>
          <t>RFR</t>
        </is>
      </c>
      <c r="F453" s="661" t="inlineStr">
        <is>
          <t>F RENICK BROWN 14402</t>
        </is>
      </c>
      <c r="G453" s="662" t="inlineStr">
        <is>
          <t>I</t>
        </is>
      </c>
      <c r="H453" s="664" t="n">
        <v>1002</v>
      </c>
      <c r="I453" s="665" t="n">
        <v>2.96</v>
      </c>
      <c r="L453" s="663" t="e">
        <v>#REF!</v>
      </c>
    </row>
    <row r="454">
      <c r="B454" s="659" t="n">
        <v>111284</v>
      </c>
      <c r="C454" s="661" t="inlineStr">
        <is>
          <t>2110A</t>
        </is>
      </c>
      <c r="D454" s="661" t="inlineStr">
        <is>
          <t>NICELINK</t>
        </is>
      </c>
      <c r="E454" s="661" t="inlineStr">
        <is>
          <t>RFRP</t>
        </is>
      </c>
      <c r="F454" s="661" t="inlineStr">
        <is>
          <t>F ROTHKOCELADON 14402</t>
        </is>
      </c>
      <c r="G454" s="662" t="inlineStr">
        <is>
          <t>I</t>
        </is>
      </c>
      <c r="H454" s="664" t="n">
        <v>1002</v>
      </c>
      <c r="I454" s="665" t="n">
        <v>5.31</v>
      </c>
      <c r="L454" s="663" t="e">
        <v>#REF!</v>
      </c>
    </row>
    <row r="455">
      <c r="B455" s="659" t="inlineStr">
        <is>
          <t>LOL-1762-AK</t>
        </is>
      </c>
      <c r="C455" s="661" t="inlineStr">
        <is>
          <t>2076A</t>
        </is>
      </c>
      <c r="D455" s="661" t="inlineStr">
        <is>
          <t>ALKANA</t>
        </is>
      </c>
      <c r="E455" s="661" t="inlineStr">
        <is>
          <t>RFMD</t>
        </is>
      </c>
      <c r="F455" s="661" t="inlineStr">
        <is>
          <t>retarder for glaze</t>
        </is>
      </c>
      <c r="G455" s="662" t="inlineStr">
        <is>
          <t>D</t>
        </is>
      </c>
      <c r="L455" s="663" t="e">
        <v>#REF!</v>
      </c>
    </row>
    <row r="456">
      <c r="B456" s="659" t="inlineStr">
        <is>
          <t>NCL-9408-10-AK</t>
        </is>
      </c>
      <c r="C456" s="661" t="inlineStr">
        <is>
          <t>2076A</t>
        </is>
      </c>
      <c r="D456" s="661" t="inlineStr">
        <is>
          <t>ALKANA</t>
        </is>
      </c>
      <c r="E456" s="661" t="inlineStr">
        <is>
          <t>RFMD</t>
        </is>
      </c>
      <c r="F456" s="661" t="inlineStr">
        <is>
          <t>NC topcoat 10 sheen</t>
        </is>
      </c>
      <c r="G456" s="662" t="inlineStr">
        <is>
          <t>D</t>
        </is>
      </c>
      <c r="L456" s="663" t="e">
        <v>#REF!</v>
      </c>
    </row>
    <row r="457">
      <c r="B457" s="659" t="inlineStr">
        <is>
          <t>NCL-9408-20-AK</t>
        </is>
      </c>
      <c r="C457" s="661" t="inlineStr">
        <is>
          <t>2076A</t>
        </is>
      </c>
      <c r="D457" s="661" t="inlineStr">
        <is>
          <t>ALKANA</t>
        </is>
      </c>
      <c r="E457" s="661" t="inlineStr">
        <is>
          <t>RFMD</t>
        </is>
      </c>
      <c r="F457" s="661" t="inlineStr">
        <is>
          <t>NC topcoat 20 sheen</t>
        </is>
      </c>
      <c r="G457" s="662" t="inlineStr">
        <is>
          <t>D</t>
        </is>
      </c>
      <c r="L457" s="663" t="e">
        <v>#REF!</v>
      </c>
    </row>
    <row r="458">
      <c r="B458" s="659" t="inlineStr">
        <is>
          <t>NCL-9408-30-AK</t>
        </is>
      </c>
      <c r="C458" s="661" t="inlineStr">
        <is>
          <t>2076A</t>
        </is>
      </c>
      <c r="D458" s="661" t="inlineStr">
        <is>
          <t>ALKANA</t>
        </is>
      </c>
      <c r="E458" s="661" t="inlineStr">
        <is>
          <t>RFMD</t>
        </is>
      </c>
      <c r="F458" s="661" t="inlineStr">
        <is>
          <t>NC topcoat 30 sheen</t>
        </is>
      </c>
      <c r="G458" s="662" t="inlineStr">
        <is>
          <t>D</t>
        </is>
      </c>
      <c r="L458" s="663" t="e">
        <v>#REF!</v>
      </c>
    </row>
    <row r="459">
      <c r="B459" s="659" t="inlineStr">
        <is>
          <t>NCL-9408-40-AK</t>
        </is>
      </c>
      <c r="C459" s="661" t="inlineStr">
        <is>
          <t>2076A</t>
        </is>
      </c>
      <c r="D459" s="661" t="inlineStr">
        <is>
          <t>ALKANA</t>
        </is>
      </c>
      <c r="E459" s="661" t="inlineStr">
        <is>
          <t>RFMD</t>
        </is>
      </c>
      <c r="F459" s="661" t="inlineStr">
        <is>
          <t>NC topcoat 40 sheen</t>
        </is>
      </c>
      <c r="G459" s="662" t="inlineStr">
        <is>
          <t>D</t>
        </is>
      </c>
      <c r="L459" s="663" t="e">
        <v>#REF!</v>
      </c>
    </row>
    <row r="460">
      <c r="B460" s="659" t="inlineStr">
        <is>
          <t>THGZ-2722-AK</t>
        </is>
      </c>
      <c r="C460" s="661" t="inlineStr">
        <is>
          <t>2076A</t>
        </is>
      </c>
      <c r="D460" s="661" t="inlineStr">
        <is>
          <t>ALKANA</t>
        </is>
      </c>
      <c r="E460" s="661" t="inlineStr">
        <is>
          <t>RFMD</t>
        </is>
      </c>
      <c r="F460" s="661" t="inlineStr">
        <is>
          <t>Glaze thinner</t>
        </is>
      </c>
      <c r="G460" s="662" t="inlineStr">
        <is>
          <t>D</t>
        </is>
      </c>
      <c r="L460" s="663" t="e">
        <v>#REF!</v>
      </c>
    </row>
    <row r="461">
      <c r="B461" s="659" t="inlineStr">
        <is>
          <t>THNC-2711-SD-AK</t>
        </is>
      </c>
      <c r="C461" s="661" t="inlineStr">
        <is>
          <t>2076A</t>
        </is>
      </c>
      <c r="D461" s="661" t="inlineStr">
        <is>
          <t>ALKANA</t>
        </is>
      </c>
      <c r="E461" s="661" t="inlineStr">
        <is>
          <t>RFMD</t>
        </is>
      </c>
      <c r="F461" s="661" t="inlineStr">
        <is>
          <t>NC thinner</t>
        </is>
      </c>
      <c r="G461" s="662" t="inlineStr">
        <is>
          <t>D</t>
        </is>
      </c>
      <c r="L461" s="663" t="e">
        <v>#REF!</v>
      </c>
    </row>
    <row r="462">
      <c r="B462" s="659" t="inlineStr">
        <is>
          <t>THPU-2713-06-AK</t>
        </is>
      </c>
      <c r="C462" s="661" t="inlineStr">
        <is>
          <t>2076A</t>
        </is>
      </c>
      <c r="D462" s="661" t="inlineStr">
        <is>
          <t>ALKANA</t>
        </is>
      </c>
      <c r="E462" s="661" t="inlineStr">
        <is>
          <t>RFMD</t>
        </is>
      </c>
      <c r="F462" s="661" t="inlineStr">
        <is>
          <t>PU thinner</t>
        </is>
      </c>
      <c r="G462" s="662" t="inlineStr">
        <is>
          <t>D</t>
        </is>
      </c>
      <c r="L462" s="663" t="e">
        <v>#REF!</v>
      </c>
    </row>
    <row r="463">
      <c r="B463" s="659" t="inlineStr">
        <is>
          <t>GZ-9127-N-BL-AK</t>
        </is>
      </c>
      <c r="C463" s="661" t="inlineStr">
        <is>
          <t>2076A</t>
        </is>
      </c>
      <c r="D463" s="661" t="inlineStr">
        <is>
          <t>ALKANA</t>
        </is>
      </c>
      <c r="E463" s="661" t="inlineStr">
        <is>
          <t>RFMD</t>
        </is>
      </c>
      <c r="F463" s="661" t="inlineStr">
        <is>
          <t>Glaze</t>
        </is>
      </c>
      <c r="G463" s="662" t="inlineStr">
        <is>
          <t>D</t>
        </is>
      </c>
      <c r="L463" s="663" t="e">
        <v>#REF!</v>
      </c>
    </row>
    <row r="464">
      <c r="B464" s="659" t="inlineStr">
        <is>
          <t>NCSS-9308-LC-AK</t>
        </is>
      </c>
      <c r="C464" s="661" t="inlineStr">
        <is>
          <t>2076A</t>
        </is>
      </c>
      <c r="D464" s="661" t="inlineStr">
        <is>
          <t>ALKANA</t>
        </is>
      </c>
      <c r="E464" s="661" t="inlineStr">
        <is>
          <t>RFMD</t>
        </is>
      </c>
      <c r="F464" s="661" t="inlineStr">
        <is>
          <t>NC sealer</t>
        </is>
      </c>
      <c r="G464" s="662" t="inlineStr">
        <is>
          <t>D</t>
        </is>
      </c>
      <c r="L464" s="663" t="e">
        <v>#REF!</v>
      </c>
    </row>
    <row r="465">
      <c r="B465" s="659" t="inlineStr">
        <is>
          <t>PUH-1561-33-AK</t>
        </is>
      </c>
      <c r="C465" s="661" t="inlineStr">
        <is>
          <t>2076A</t>
        </is>
      </c>
      <c r="D465" s="661" t="inlineStr">
        <is>
          <t>ALKANA</t>
        </is>
      </c>
      <c r="E465" s="661" t="inlineStr">
        <is>
          <t>RFMD</t>
        </is>
      </c>
      <c r="F465" s="661" t="inlineStr">
        <is>
          <t>PU hardener</t>
        </is>
      </c>
      <c r="G465" s="662" t="inlineStr">
        <is>
          <t>D</t>
        </is>
      </c>
      <c r="L465" s="663" t="e">
        <v>#REF!</v>
      </c>
    </row>
    <row r="466">
      <c r="B466" s="659" t="inlineStr">
        <is>
          <t>PUP-1521-570-AK</t>
        </is>
      </c>
      <c r="C466" s="661" t="inlineStr">
        <is>
          <t>2076A</t>
        </is>
      </c>
      <c r="D466" s="661" t="inlineStr">
        <is>
          <t>ALKANA</t>
        </is>
      </c>
      <c r="E466" s="661" t="inlineStr">
        <is>
          <t>RFMD</t>
        </is>
      </c>
      <c r="F466" s="661" t="inlineStr">
        <is>
          <t>PU Primer</t>
        </is>
      </c>
      <c r="G466" s="662" t="inlineStr">
        <is>
          <t>D</t>
        </is>
      </c>
      <c r="L466" s="663" t="e">
        <v>#REF!</v>
      </c>
    </row>
    <row r="467">
      <c r="B467" s="659" t="inlineStr">
        <is>
          <t>THC-2731-101-AK</t>
        </is>
      </c>
      <c r="C467" s="661" t="inlineStr">
        <is>
          <t>2076A</t>
        </is>
      </c>
      <c r="D467" s="661" t="inlineStr">
        <is>
          <t>ALKANA</t>
        </is>
      </c>
      <c r="E467" s="661" t="inlineStr">
        <is>
          <t>RFMD</t>
        </is>
      </c>
      <c r="F467" s="661" t="inlineStr">
        <is>
          <t>Alcohol thinner</t>
        </is>
      </c>
      <c r="G467" s="662" t="inlineStr">
        <is>
          <t>D</t>
        </is>
      </c>
      <c r="L467" s="663" t="e">
        <v>#REF!</v>
      </c>
    </row>
    <row r="468">
      <c r="B468" s="659" t="inlineStr">
        <is>
          <t>GZ-9127-N553_AK</t>
        </is>
      </c>
      <c r="C468" s="661" t="inlineStr">
        <is>
          <t>2076A</t>
        </is>
      </c>
      <c r="D468" s="661" t="inlineStr">
        <is>
          <t>ALKANA</t>
        </is>
      </c>
      <c r="E468" s="661" t="inlineStr">
        <is>
          <t>RFMD</t>
        </is>
      </c>
      <c r="F468" s="661" t="inlineStr">
        <is>
          <t>Glaze B553</t>
        </is>
      </c>
      <c r="G468" s="662" t="inlineStr">
        <is>
          <t>D</t>
        </is>
      </c>
      <c r="L468" s="663" t="e">
        <v>#REF!</v>
      </c>
    </row>
    <row r="469">
      <c r="B469" s="659" t="inlineStr">
        <is>
          <t>GZ-9127-N570_AK</t>
        </is>
      </c>
      <c r="C469" s="661" t="inlineStr">
        <is>
          <t>2076A</t>
        </is>
      </c>
      <c r="D469" s="661" t="inlineStr">
        <is>
          <t>ALKANA</t>
        </is>
      </c>
      <c r="E469" s="661" t="inlineStr">
        <is>
          <t>RFMD</t>
        </is>
      </c>
      <c r="F469" s="661" t="inlineStr">
        <is>
          <t>Glaze B570</t>
        </is>
      </c>
      <c r="G469" s="662" t="inlineStr">
        <is>
          <t>D</t>
        </is>
      </c>
      <c r="L469" s="663" t="e">
        <v>#REF!</v>
      </c>
    </row>
    <row r="470">
      <c r="B470" s="659" t="inlineStr">
        <is>
          <t>GZ-9127-N602_AK</t>
        </is>
      </c>
      <c r="C470" s="661" t="inlineStr">
        <is>
          <t>2076A</t>
        </is>
      </c>
      <c r="D470" s="661" t="inlineStr">
        <is>
          <t>ALKANA</t>
        </is>
      </c>
      <c r="E470" s="661" t="inlineStr">
        <is>
          <t>RFMD</t>
        </is>
      </c>
      <c r="F470" s="661" t="inlineStr">
        <is>
          <t>Glaze B602</t>
        </is>
      </c>
      <c r="G470" s="662" t="inlineStr">
        <is>
          <t>D</t>
        </is>
      </c>
      <c r="L470" s="663" t="e">
        <v>#REF!</v>
      </c>
    </row>
    <row r="471">
      <c r="B471" s="659" t="inlineStr">
        <is>
          <t>NBC-9345-547_AK</t>
        </is>
      </c>
      <c r="C471" s="661" t="inlineStr">
        <is>
          <t>2076A</t>
        </is>
      </c>
      <c r="D471" s="661" t="inlineStr">
        <is>
          <t>ALKANA</t>
        </is>
      </c>
      <c r="E471" s="661" t="inlineStr">
        <is>
          <t>RFMD</t>
        </is>
      </c>
      <c r="F471" s="661" t="inlineStr">
        <is>
          <t>547 NC BASE COAT</t>
        </is>
      </c>
      <c r="G471" s="662" t="inlineStr">
        <is>
          <t>D</t>
        </is>
      </c>
      <c r="L471" s="663" t="e">
        <v>#REF!</v>
      </c>
    </row>
    <row r="472">
      <c r="B472" s="659" t="inlineStr">
        <is>
          <t>NBC-9345-553_AK</t>
        </is>
      </c>
      <c r="C472" s="661" t="inlineStr">
        <is>
          <t>2076A</t>
        </is>
      </c>
      <c r="D472" s="661" t="inlineStr">
        <is>
          <t>ALKANA</t>
        </is>
      </c>
      <c r="E472" s="661" t="inlineStr">
        <is>
          <t>RFMD</t>
        </is>
      </c>
      <c r="F472" s="661" t="inlineStr">
        <is>
          <t>553 NC BASE COAT</t>
        </is>
      </c>
      <c r="G472" s="662" t="inlineStr">
        <is>
          <t>D</t>
        </is>
      </c>
      <c r="L472" s="663" t="e">
        <v>#REF!</v>
      </c>
    </row>
    <row r="473">
      <c r="B473" s="659" t="inlineStr">
        <is>
          <t>NBC-9345-570_AK</t>
        </is>
      </c>
      <c r="C473" s="661" t="inlineStr">
        <is>
          <t>2076A</t>
        </is>
      </c>
      <c r="D473" s="661" t="inlineStr">
        <is>
          <t>ALKANA</t>
        </is>
      </c>
      <c r="E473" s="661" t="inlineStr">
        <is>
          <t>RFMD</t>
        </is>
      </c>
      <c r="F473" s="661" t="inlineStr">
        <is>
          <t>570 NC BASE COAT</t>
        </is>
      </c>
      <c r="G473" s="662" t="inlineStr">
        <is>
          <t>D</t>
        </is>
      </c>
      <c r="L473" s="663" t="e">
        <v>#REF!</v>
      </c>
    </row>
    <row r="474">
      <c r="B474" s="659" t="inlineStr">
        <is>
          <t>NBC-9345-602_AK</t>
        </is>
      </c>
      <c r="C474" s="661" t="inlineStr">
        <is>
          <t>2076A</t>
        </is>
      </c>
      <c r="D474" s="661" t="inlineStr">
        <is>
          <t>ALKANA</t>
        </is>
      </c>
      <c r="E474" s="661" t="inlineStr">
        <is>
          <t>RFMD</t>
        </is>
      </c>
      <c r="F474" s="661" t="inlineStr">
        <is>
          <t>602 NC BASE COAT</t>
        </is>
      </c>
      <c r="G474" s="662" t="inlineStr">
        <is>
          <t>D</t>
        </is>
      </c>
      <c r="L474" s="663" t="e">
        <v>#REF!</v>
      </c>
    </row>
    <row r="475">
      <c r="B475" s="659" t="inlineStr">
        <is>
          <t>GZ-9127-N-BU_AK</t>
        </is>
      </c>
      <c r="C475" s="661" t="inlineStr">
        <is>
          <t>2076A</t>
        </is>
      </c>
      <c r="D475" s="661" t="inlineStr">
        <is>
          <t>ALKANA</t>
        </is>
      </c>
      <c r="E475" s="661" t="inlineStr">
        <is>
          <t>RFMD</t>
        </is>
      </c>
      <c r="F475" s="661" t="inlineStr">
        <is>
          <t>Glaze</t>
        </is>
      </c>
      <c r="G475" s="662" t="inlineStr">
        <is>
          <t>D</t>
        </is>
      </c>
      <c r="L475" s="663" t="e">
        <v>#REF!</v>
      </c>
    </row>
    <row r="476">
      <c r="B476" s="659" t="inlineStr">
        <is>
          <t>GZ-9127-N-RE_AK</t>
        </is>
      </c>
      <c r="C476" s="661" t="inlineStr">
        <is>
          <t>2076A</t>
        </is>
      </c>
      <c r="D476" s="661" t="inlineStr">
        <is>
          <t>ALKANA</t>
        </is>
      </c>
      <c r="E476" s="661" t="inlineStr">
        <is>
          <t>RFMD</t>
        </is>
      </c>
      <c r="F476" s="661" t="inlineStr">
        <is>
          <t>Glaze</t>
        </is>
      </c>
      <c r="G476" s="662" t="inlineStr">
        <is>
          <t>D</t>
        </is>
      </c>
      <c r="L476" s="663" t="e">
        <v>#REF!</v>
      </c>
    </row>
    <row r="477">
      <c r="B477" s="659" t="inlineStr">
        <is>
          <t>GZ-9127-N-VD_AK</t>
        </is>
      </c>
      <c r="C477" s="661" t="inlineStr">
        <is>
          <t>2076A</t>
        </is>
      </c>
      <c r="D477" s="661" t="inlineStr">
        <is>
          <t>ALKANA</t>
        </is>
      </c>
      <c r="E477" s="661" t="inlineStr">
        <is>
          <t>RFMD</t>
        </is>
      </c>
      <c r="F477" s="661" t="inlineStr">
        <is>
          <t>Glaze</t>
        </is>
      </c>
      <c r="G477" s="662" t="inlineStr">
        <is>
          <t>D</t>
        </is>
      </c>
      <c r="L477" s="663" t="e">
        <v>#REF!</v>
      </c>
    </row>
    <row r="478">
      <c r="B478" s="659" t="inlineStr">
        <is>
          <t>GZ-9127-N-YE_AK</t>
        </is>
      </c>
      <c r="C478" s="661" t="inlineStr">
        <is>
          <t>2076A</t>
        </is>
      </c>
      <c r="D478" s="661" t="inlineStr">
        <is>
          <t>ALKANA</t>
        </is>
      </c>
      <c r="E478" s="661" t="inlineStr">
        <is>
          <t>RFMD</t>
        </is>
      </c>
      <c r="F478" s="661" t="inlineStr">
        <is>
          <t>Glaze</t>
        </is>
      </c>
      <c r="G478" s="662" t="inlineStr">
        <is>
          <t>D</t>
        </is>
      </c>
      <c r="L478" s="663" t="e">
        <v>#REF!</v>
      </c>
    </row>
    <row r="479">
      <c r="B479" s="659" t="n">
        <v>100107</v>
      </c>
      <c r="C479" s="661" t="inlineStr">
        <is>
          <t>2038A</t>
        </is>
      </c>
      <c r="D479" s="661" t="inlineStr">
        <is>
          <t>THUONGVIET</t>
        </is>
      </c>
      <c r="E479" s="661" t="inlineStr">
        <is>
          <t>MISN</t>
        </is>
      </c>
      <c r="F479" s="661" t="inlineStr">
        <is>
          <t>BAR CODE LABEL 4"*3"</t>
        </is>
      </c>
      <c r="G479" s="662" t="inlineStr">
        <is>
          <t>D</t>
        </is>
      </c>
      <c r="L479" s="663" t="e">
        <v>#REF!</v>
      </c>
    </row>
    <row r="480">
      <c r="B480" s="659" t="n">
        <v>100117</v>
      </c>
      <c r="C480" s="661" t="inlineStr">
        <is>
          <t>2053A</t>
        </is>
      </c>
      <c r="D480" s="661" t="inlineStr">
        <is>
          <t>A&amp;E</t>
        </is>
      </c>
      <c r="E480" s="661" t="inlineStr">
        <is>
          <t>RTH</t>
        </is>
      </c>
      <c r="F480" s="661" t="inlineStr">
        <is>
          <t>THREAD-BONNY AN0148 TEX45</t>
        </is>
      </c>
      <c r="G480" s="662" t="inlineStr">
        <is>
          <t>D</t>
        </is>
      </c>
      <c r="L480" s="663" t="e">
        <v>#REF!</v>
      </c>
    </row>
    <row r="481">
      <c r="B481" s="659" t="n">
        <v>100248</v>
      </c>
      <c r="C481" s="661" t="inlineStr">
        <is>
          <t>2053A</t>
        </is>
      </c>
      <c r="D481" s="661" t="inlineStr">
        <is>
          <t>A&amp;E</t>
        </is>
      </c>
      <c r="E481" s="661" t="inlineStr">
        <is>
          <t>RTH</t>
        </is>
      </c>
      <c r="F481" s="661" t="inlineStr">
        <is>
          <t>THREAD-BONNY NK044 TEX135</t>
        </is>
      </c>
      <c r="G481" s="662" t="inlineStr">
        <is>
          <t>D</t>
        </is>
      </c>
      <c r="L481" s="663" t="e">
        <v>#REF!</v>
      </c>
    </row>
    <row r="482">
      <c r="B482" s="659" t="n">
        <v>100268</v>
      </c>
      <c r="C482" s="661" t="inlineStr">
        <is>
          <t>2053A</t>
        </is>
      </c>
      <c r="D482" s="661" t="inlineStr">
        <is>
          <t>A&amp;E</t>
        </is>
      </c>
      <c r="E482" s="661" t="inlineStr">
        <is>
          <t>RTH</t>
        </is>
      </c>
      <c r="F482" s="661" t="inlineStr">
        <is>
          <t>Thread-BonNy Nt0024 Tex350</t>
        </is>
      </c>
      <c r="G482" s="662" t="inlineStr">
        <is>
          <t>D</t>
        </is>
      </c>
      <c r="L482" s="663" t="e">
        <v>#REF!</v>
      </c>
    </row>
    <row r="483">
      <c r="B483" s="659" t="n">
        <v>100269</v>
      </c>
      <c r="C483" s="661" t="inlineStr">
        <is>
          <t>2053A</t>
        </is>
      </c>
      <c r="D483" s="661" t="inlineStr">
        <is>
          <t>A&amp;E</t>
        </is>
      </c>
      <c r="E483" s="661" t="inlineStr">
        <is>
          <t>RTH</t>
        </is>
      </c>
      <c r="F483" s="661" t="inlineStr">
        <is>
          <t>Thread-BonNy 12061 Tex350</t>
        </is>
      </c>
      <c r="G483" s="662" t="inlineStr">
        <is>
          <t>D</t>
        </is>
      </c>
      <c r="L483" s="663" t="e">
        <v>#REF!</v>
      </c>
    </row>
    <row r="484">
      <c r="B484" s="659" t="n">
        <v>100272</v>
      </c>
      <c r="C484" s="661" t="inlineStr">
        <is>
          <t>2053A</t>
        </is>
      </c>
      <c r="D484" s="661" t="inlineStr">
        <is>
          <t>A&amp;E</t>
        </is>
      </c>
      <c r="E484" s="661" t="inlineStr">
        <is>
          <t>RTH</t>
        </is>
      </c>
      <c r="F484" s="661" t="inlineStr">
        <is>
          <t>THREAD-BONNY 35103 TEX350</t>
        </is>
      </c>
      <c r="G484" s="662" t="inlineStr">
        <is>
          <t>D</t>
        </is>
      </c>
      <c r="L484" s="663" t="e">
        <v>#REF!</v>
      </c>
    </row>
    <row r="485">
      <c r="B485" s="659" t="n">
        <v>100273</v>
      </c>
      <c r="C485" s="661" t="inlineStr">
        <is>
          <t>2053A</t>
        </is>
      </c>
      <c r="D485" s="661" t="inlineStr">
        <is>
          <t>A&amp;E</t>
        </is>
      </c>
      <c r="E485" s="661" t="inlineStr">
        <is>
          <t>RTH</t>
        </is>
      </c>
      <c r="F485" s="661" t="inlineStr">
        <is>
          <t>THREAD-BONNY 34276 TEX350</t>
        </is>
      </c>
      <c r="G485" s="662" t="inlineStr">
        <is>
          <t>D</t>
        </is>
      </c>
      <c r="L485" s="663" t="e">
        <v>#REF!</v>
      </c>
    </row>
    <row r="486">
      <c r="B486" s="659" t="n">
        <v>100274</v>
      </c>
      <c r="C486" s="661" t="inlineStr">
        <is>
          <t>2053A</t>
        </is>
      </c>
      <c r="D486" s="661" t="inlineStr">
        <is>
          <t>A&amp;E</t>
        </is>
      </c>
      <c r="E486" s="661" t="inlineStr">
        <is>
          <t>RTH</t>
        </is>
      </c>
      <c r="F486" s="661" t="inlineStr">
        <is>
          <t>Thread-BonNy 3929 Tex350</t>
        </is>
      </c>
      <c r="G486" s="662" t="inlineStr">
        <is>
          <t>D</t>
        </is>
      </c>
      <c r="H486" s="664" t="n">
        <v>1008</v>
      </c>
      <c r="I486" s="665" t="n">
        <v>7.09</v>
      </c>
      <c r="J486" s="666" t="inlineStr">
        <is>
          <t>KM</t>
        </is>
      </c>
      <c r="L486" s="663" t="e">
        <v>#REF!</v>
      </c>
    </row>
    <row r="487">
      <c r="B487" s="659" t="n">
        <v>100275</v>
      </c>
      <c r="C487" s="661" t="inlineStr">
        <is>
          <t>2053A</t>
        </is>
      </c>
      <c r="D487" s="661" t="inlineStr">
        <is>
          <t>A&amp;E</t>
        </is>
      </c>
      <c r="E487" s="661" t="inlineStr">
        <is>
          <t>RTH</t>
        </is>
      </c>
      <c r="F487" s="661" t="inlineStr">
        <is>
          <t>Thread-BonNy 235 Tex350</t>
        </is>
      </c>
      <c r="G487" s="662" t="inlineStr">
        <is>
          <t>D</t>
        </is>
      </c>
      <c r="H487" s="664" t="n">
        <v>1008</v>
      </c>
      <c r="I487" s="665" t="n">
        <v>7.09</v>
      </c>
      <c r="J487" s="666" t="inlineStr">
        <is>
          <t>KM</t>
        </is>
      </c>
      <c r="L487" s="663" t="e">
        <v>#REF!</v>
      </c>
    </row>
    <row r="488">
      <c r="B488" s="659" t="n">
        <v>100281</v>
      </c>
      <c r="C488" s="661" t="inlineStr">
        <is>
          <t>2053A</t>
        </is>
      </c>
      <c r="D488" s="661" t="inlineStr">
        <is>
          <t>A&amp;E</t>
        </is>
      </c>
      <c r="E488" s="661" t="inlineStr">
        <is>
          <t>RTH</t>
        </is>
      </c>
      <c r="F488" s="661" t="inlineStr">
        <is>
          <t>THREAD-PERCOR W32002 TEX40</t>
        </is>
      </c>
      <c r="G488" s="662" t="inlineStr">
        <is>
          <t>D</t>
        </is>
      </c>
      <c r="L488" s="663" t="e">
        <v>#REF!</v>
      </c>
    </row>
    <row r="489">
      <c r="B489" s="659" t="n">
        <v>100282</v>
      </c>
      <c r="C489" s="661" t="inlineStr">
        <is>
          <t>2053A</t>
        </is>
      </c>
      <c r="D489" s="661" t="inlineStr">
        <is>
          <t>A&amp;E</t>
        </is>
      </c>
      <c r="E489" s="661" t="inlineStr">
        <is>
          <t>RTH</t>
        </is>
      </c>
      <c r="F489" s="661" t="inlineStr">
        <is>
          <t>THREAD-PERCOR W32580 TEX40</t>
        </is>
      </c>
      <c r="G489" s="662" t="inlineStr">
        <is>
          <t>D</t>
        </is>
      </c>
      <c r="H489" s="664" t="n">
        <v>1008</v>
      </c>
      <c r="I489" s="665" t="n">
        <v>0.437</v>
      </c>
      <c r="J489" s="666" t="inlineStr">
        <is>
          <t>KM</t>
        </is>
      </c>
      <c r="L489" s="663" t="e">
        <v>#REF!</v>
      </c>
    </row>
    <row r="490">
      <c r="B490" s="659" t="n">
        <v>100286</v>
      </c>
      <c r="C490" s="661" t="inlineStr">
        <is>
          <t>2036A</t>
        </is>
      </c>
      <c r="D490" s="661" t="inlineStr">
        <is>
          <t>TIEN THANH</t>
        </is>
      </c>
      <c r="E490" s="661" t="inlineStr">
        <is>
          <t>BAGE</t>
        </is>
      </c>
      <c r="F490" s="661" t="inlineStr">
        <is>
          <t>PLASTIC BAG 45X54 INCH</t>
        </is>
      </c>
      <c r="G490" s="662" t="inlineStr">
        <is>
          <t>D</t>
        </is>
      </c>
      <c r="L490" s="663" t="e">
        <v>#REF!</v>
      </c>
    </row>
    <row r="491">
      <c r="B491" s="659" t="n">
        <v>100312</v>
      </c>
      <c r="C491" s="661" t="inlineStr">
        <is>
          <t>2036A</t>
        </is>
      </c>
      <c r="D491" s="661" t="inlineStr">
        <is>
          <t>TIEN THANH</t>
        </is>
      </c>
      <c r="E491" s="661" t="inlineStr">
        <is>
          <t>BAGE</t>
        </is>
      </c>
      <c r="F491" s="661" t="inlineStr">
        <is>
          <t>BLUE PLASTIC BAG 34*48INCH</t>
        </is>
      </c>
      <c r="G491" s="662" t="inlineStr">
        <is>
          <t>D</t>
        </is>
      </c>
      <c r="L491" s="663" t="e">
        <v>#REF!</v>
      </c>
    </row>
    <row r="492">
      <c r="B492" s="659" t="n">
        <v>100332</v>
      </c>
      <c r="C492" s="661" t="inlineStr">
        <is>
          <t>2053A</t>
        </is>
      </c>
      <c r="D492" s="661" t="inlineStr">
        <is>
          <t>A&amp;E</t>
        </is>
      </c>
      <c r="E492" s="661" t="inlineStr">
        <is>
          <t>RTH</t>
        </is>
      </c>
      <c r="F492" s="661" t="inlineStr">
        <is>
          <t>THREAD-BONNY NU045 TEX70</t>
        </is>
      </c>
      <c r="G492" s="662" t="inlineStr">
        <is>
          <t>D</t>
        </is>
      </c>
      <c r="H492" s="664" t="n">
        <v>1008</v>
      </c>
      <c r="J492" s="676" t="inlineStr">
        <is>
          <t>KM</t>
        </is>
      </c>
      <c r="L492" s="663" t="e">
        <v>#REF!</v>
      </c>
    </row>
    <row r="493">
      <c r="B493" s="659" t="n">
        <v>100333</v>
      </c>
      <c r="C493" s="661" t="inlineStr">
        <is>
          <t>2053A</t>
        </is>
      </c>
      <c r="D493" s="661" t="inlineStr">
        <is>
          <t>A&amp;E</t>
        </is>
      </c>
      <c r="E493" s="661" t="inlineStr">
        <is>
          <t>RTH</t>
        </is>
      </c>
      <c r="F493" s="661" t="inlineStr">
        <is>
          <t>Thread-BonNy An0072 Tex350</t>
        </is>
      </c>
      <c r="G493" s="662" t="inlineStr">
        <is>
          <t>D</t>
        </is>
      </c>
      <c r="H493" s="664" t="n">
        <v>1008</v>
      </c>
      <c r="I493" s="665" t="n">
        <v>7.09</v>
      </c>
      <c r="J493" s="676" t="inlineStr">
        <is>
          <t>KM</t>
        </is>
      </c>
      <c r="L493" s="663" t="e">
        <v>#REF!</v>
      </c>
    </row>
    <row r="494">
      <c r="B494" s="659" t="n">
        <v>100339</v>
      </c>
      <c r="C494" s="661" t="inlineStr">
        <is>
          <t>2053A</t>
        </is>
      </c>
      <c r="D494" s="661" t="inlineStr">
        <is>
          <t>A&amp;E</t>
        </is>
      </c>
      <c r="E494" s="661" t="inlineStr">
        <is>
          <t>RTH</t>
        </is>
      </c>
      <c r="F494" s="661" t="inlineStr">
        <is>
          <t>THREAD-BONNY AN0180 TEX350</t>
        </is>
      </c>
      <c r="G494" s="662" t="inlineStr">
        <is>
          <t>D</t>
        </is>
      </c>
      <c r="H494" s="664" t="n">
        <v>1008</v>
      </c>
      <c r="J494" s="676" t="inlineStr">
        <is>
          <t>KM</t>
        </is>
      </c>
      <c r="L494" s="663" t="e">
        <v>#REF!</v>
      </c>
    </row>
    <row r="495">
      <c r="B495" s="659" t="n">
        <v>100349</v>
      </c>
      <c r="C495" s="661" t="inlineStr">
        <is>
          <t>2038A</t>
        </is>
      </c>
      <c r="D495" s="661" t="inlineStr">
        <is>
          <t>THUONGVIET</t>
        </is>
      </c>
      <c r="E495" s="661" t="inlineStr">
        <is>
          <t>LBL</t>
        </is>
      </c>
      <c r="F495" s="661" t="inlineStr">
        <is>
          <t>SHADE TAG LABEL 16MM*26MM</t>
        </is>
      </c>
      <c r="G495" s="662" t="inlineStr">
        <is>
          <t>D</t>
        </is>
      </c>
      <c r="I495" s="665" t="n">
        <v>0.0004</v>
      </c>
      <c r="J495" s="666" t="inlineStr">
        <is>
          <t>EA</t>
        </is>
      </c>
      <c r="K495" t="inlineStr">
        <is>
          <t>P006940</t>
        </is>
      </c>
      <c r="L495" s="663" t="e">
        <v>#REF!</v>
      </c>
      <c r="M495" t="inlineStr">
        <is>
          <t>NHAN GIAY</t>
        </is>
      </c>
    </row>
    <row r="496">
      <c r="B496" s="659" t="n">
        <v>100374</v>
      </c>
      <c r="C496" s="661" t="inlineStr">
        <is>
          <t>2038A</t>
        </is>
      </c>
      <c r="D496" s="661" t="inlineStr">
        <is>
          <t>THUONGVIET</t>
        </is>
      </c>
      <c r="E496" s="661" t="inlineStr">
        <is>
          <t>LBL</t>
        </is>
      </c>
      <c r="F496" s="661" t="inlineStr">
        <is>
          <t>UPH RP YELLOW STICKER</t>
        </is>
      </c>
      <c r="G496" s="662" t="inlineStr">
        <is>
          <t>D</t>
        </is>
      </c>
      <c r="L496" s="663" t="e">
        <v>#REF!</v>
      </c>
    </row>
    <row r="497">
      <c r="B497" s="659" t="n">
        <v>100376</v>
      </c>
      <c r="C497" s="661" t="inlineStr">
        <is>
          <t>2038A</t>
        </is>
      </c>
      <c r="D497" s="661" t="inlineStr">
        <is>
          <t>THUONGVIET</t>
        </is>
      </c>
      <c r="E497" s="661" t="inlineStr">
        <is>
          <t>MISN</t>
        </is>
      </c>
      <c r="F497" s="661" t="inlineStr">
        <is>
          <t>BAR CODE LABEL 4"*6"</t>
        </is>
      </c>
      <c r="G497" s="662" t="inlineStr">
        <is>
          <t>D</t>
        </is>
      </c>
      <c r="L497" s="663" t="e">
        <v>#REF!</v>
      </c>
    </row>
    <row r="498">
      <c r="B498" s="659" t="n">
        <v>100400</v>
      </c>
      <c r="C498" s="661" t="inlineStr">
        <is>
          <t>2048A</t>
        </is>
      </c>
      <c r="D498" s="661" t="inlineStr">
        <is>
          <t>VINH DUC</t>
        </is>
      </c>
      <c r="E498" s="661" t="inlineStr">
        <is>
          <t>UEPP</t>
        </is>
      </c>
      <c r="F498" s="661" t="inlineStr">
        <is>
          <t>ARM PANEL FOAM 900X800X10</t>
        </is>
      </c>
      <c r="G498" s="662" t="inlineStr">
        <is>
          <t>D</t>
        </is>
      </c>
      <c r="L498" s="663" t="e">
        <v>#REF!</v>
      </c>
    </row>
    <row r="499">
      <c r="B499" s="659" t="n">
        <v>100405</v>
      </c>
      <c r="C499" s="661" t="inlineStr">
        <is>
          <t>2053A</t>
        </is>
      </c>
      <c r="D499" s="661" t="inlineStr">
        <is>
          <t>A&amp;E</t>
        </is>
      </c>
      <c r="E499" s="661" t="inlineStr">
        <is>
          <t>RTH</t>
        </is>
      </c>
      <c r="F499" s="661" t="inlineStr">
        <is>
          <t>THREAD-BONNY NK0051 TEX350</t>
        </is>
      </c>
      <c r="G499" s="662" t="inlineStr">
        <is>
          <t>D</t>
        </is>
      </c>
      <c r="H499" s="664" t="n">
        <v>1008</v>
      </c>
      <c r="I499" s="665" t="n">
        <v>6.75</v>
      </c>
      <c r="J499" s="666" t="inlineStr">
        <is>
          <t>KM</t>
        </is>
      </c>
      <c r="L499" s="663" t="e">
        <v>#REF!</v>
      </c>
    </row>
    <row r="500">
      <c r="B500" s="659" t="n">
        <v>100425</v>
      </c>
      <c r="C500" s="661" t="inlineStr">
        <is>
          <t>2053A</t>
        </is>
      </c>
      <c r="D500" s="661" t="inlineStr">
        <is>
          <t>A&amp;E</t>
        </is>
      </c>
      <c r="E500" s="661" t="inlineStr">
        <is>
          <t>RTH</t>
        </is>
      </c>
      <c r="F500" s="661" t="inlineStr">
        <is>
          <t>THREAD-BONNY AN154 TEX350</t>
        </is>
      </c>
      <c r="G500" s="662" t="inlineStr">
        <is>
          <t>D</t>
        </is>
      </c>
      <c r="H500" s="664" t="n">
        <v>1008</v>
      </c>
      <c r="I500" s="665" t="n">
        <v>6.75</v>
      </c>
      <c r="J500" s="666" t="inlineStr">
        <is>
          <t>KM</t>
        </is>
      </c>
      <c r="L500" s="663" t="e">
        <v>#REF!</v>
      </c>
    </row>
    <row r="501">
      <c r="B501" s="659" t="n">
        <v>100438</v>
      </c>
      <c r="C501" s="661" t="inlineStr">
        <is>
          <t>2053A</t>
        </is>
      </c>
      <c r="D501" s="661" t="inlineStr">
        <is>
          <t>A&amp;E</t>
        </is>
      </c>
      <c r="E501" s="661" t="inlineStr">
        <is>
          <t>RTH</t>
        </is>
      </c>
      <c r="F501" s="661" t="inlineStr">
        <is>
          <t>THREAD-BONNY AN060 TEX350</t>
        </is>
      </c>
      <c r="G501" s="662" t="inlineStr">
        <is>
          <t>D</t>
        </is>
      </c>
      <c r="H501" s="664" t="n">
        <v>1008</v>
      </c>
      <c r="I501" s="665" t="n">
        <v>7.09</v>
      </c>
      <c r="J501" s="666" t="inlineStr">
        <is>
          <t>KM</t>
        </is>
      </c>
      <c r="L501" s="663" t="e">
        <v>#REF!</v>
      </c>
    </row>
    <row r="502">
      <c r="B502" s="659" t="n">
        <v>100460</v>
      </c>
      <c r="C502" s="661" t="inlineStr">
        <is>
          <t>2125A</t>
        </is>
      </c>
      <c r="D502" s="661" t="inlineStr">
        <is>
          <t>HEICO</t>
        </is>
      </c>
      <c r="E502" s="661" t="inlineStr">
        <is>
          <t>UEUS</t>
        </is>
      </c>
      <c r="F502" s="661" t="inlineStr">
        <is>
          <t>U-BRAD3/4INDECOR-1052NATURAL G</t>
        </is>
      </c>
      <c r="G502" s="662" t="inlineStr">
        <is>
          <t>I</t>
        </is>
      </c>
      <c r="H502" s="664" t="n">
        <v>1052</v>
      </c>
      <c r="I502" s="665" t="n">
        <v>0.0316</v>
      </c>
      <c r="J502" s="666" t="inlineStr">
        <is>
          <t>EA</t>
        </is>
      </c>
      <c r="L502" s="663" t="e">
        <v>#REF!</v>
      </c>
    </row>
    <row r="503">
      <c r="B503" s="659" t="n">
        <v>100468</v>
      </c>
      <c r="C503" s="661" t="inlineStr">
        <is>
          <t>2125A</t>
        </is>
      </c>
      <c r="D503" s="661" t="inlineStr">
        <is>
          <t>HEICO</t>
        </is>
      </c>
      <c r="E503" s="661" t="inlineStr">
        <is>
          <t>UEUS</t>
        </is>
      </c>
      <c r="F503" s="661" t="inlineStr">
        <is>
          <t>U-BRAD5/8 13MM SHANK NATURAL G</t>
        </is>
      </c>
      <c r="G503" s="662" t="inlineStr">
        <is>
          <t>I</t>
        </is>
      </c>
      <c r="H503" s="664" t="n">
        <v>1052</v>
      </c>
      <c r="I503" s="665" t="n">
        <v>0.0216</v>
      </c>
      <c r="J503" s="666" t="inlineStr">
        <is>
          <t>EA</t>
        </is>
      </c>
      <c r="L503" s="663" t="e">
        <v>#REF!</v>
      </c>
    </row>
    <row r="504">
      <c r="B504" s="659" t="n">
        <v>100469</v>
      </c>
      <c r="C504" s="661" t="inlineStr">
        <is>
          <t>2053A</t>
        </is>
      </c>
      <c r="D504" s="661" t="inlineStr">
        <is>
          <t>A&amp;E</t>
        </is>
      </c>
      <c r="E504" s="661" t="inlineStr">
        <is>
          <t>RTH</t>
        </is>
      </c>
      <c r="F504" s="661" t="inlineStr">
        <is>
          <t>Thread-BonNy 4828 Tex350</t>
        </is>
      </c>
      <c r="G504" s="662" t="inlineStr">
        <is>
          <t>D</t>
        </is>
      </c>
      <c r="L504" s="663" t="e">
        <v>#REF!</v>
      </c>
    </row>
    <row r="505">
      <c r="B505" s="659" t="n">
        <v>100489</v>
      </c>
      <c r="C505" s="661" t="inlineStr">
        <is>
          <t>2053A</t>
        </is>
      </c>
      <c r="D505" s="661" t="inlineStr">
        <is>
          <t>A&amp;E</t>
        </is>
      </c>
      <c r="E505" s="661" t="inlineStr">
        <is>
          <t>RTH</t>
        </is>
      </c>
      <c r="F505" s="661" t="inlineStr">
        <is>
          <t>THREAD-BONNY AN060 TEX135</t>
        </is>
      </c>
      <c r="G505" s="662" t="inlineStr">
        <is>
          <t>D</t>
        </is>
      </c>
      <c r="H505" s="664" t="n">
        <v>1008</v>
      </c>
      <c r="I505" s="665" t="n">
        <v>2.47</v>
      </c>
      <c r="J505" s="666" t="inlineStr">
        <is>
          <t>KM</t>
        </is>
      </c>
      <c r="L505" s="663" t="e">
        <v>#REF!</v>
      </c>
    </row>
    <row r="506">
      <c r="B506" s="659" t="n">
        <v>100497</v>
      </c>
      <c r="C506" s="661" t="inlineStr">
        <is>
          <t>2053A</t>
        </is>
      </c>
      <c r="D506" s="661" t="inlineStr">
        <is>
          <t>A&amp;E</t>
        </is>
      </c>
      <c r="E506" s="661" t="inlineStr">
        <is>
          <t>RTH</t>
        </is>
      </c>
      <c r="F506" s="661" t="inlineStr">
        <is>
          <t>THREAD-BONNY 235 TEX70</t>
        </is>
      </c>
      <c r="G506" s="662" t="inlineStr">
        <is>
          <t>D</t>
        </is>
      </c>
      <c r="H506" s="664" t="n">
        <v>1008</v>
      </c>
      <c r="I506" s="665" t="n">
        <v>1.12</v>
      </c>
      <c r="J506" s="666" t="inlineStr">
        <is>
          <t>KM</t>
        </is>
      </c>
      <c r="L506" s="663" t="e">
        <v>#REF!</v>
      </c>
    </row>
    <row r="507">
      <c r="B507" s="659" t="n">
        <v>100505</v>
      </c>
      <c r="C507" s="661" t="inlineStr">
        <is>
          <t>2053A</t>
        </is>
      </c>
      <c r="D507" s="661" t="inlineStr">
        <is>
          <t>A&amp;E</t>
        </is>
      </c>
      <c r="E507" s="661" t="inlineStr">
        <is>
          <t>RTH</t>
        </is>
      </c>
      <c r="F507" s="661" t="inlineStr">
        <is>
          <t>Thread-BonNy Na0008 Tex350</t>
        </is>
      </c>
      <c r="G507" s="662" t="inlineStr">
        <is>
          <t>D</t>
        </is>
      </c>
      <c r="H507" s="664" t="n">
        <v>1008</v>
      </c>
      <c r="I507" s="665" t="n">
        <v>6.75</v>
      </c>
      <c r="J507" s="666" t="inlineStr">
        <is>
          <t>KM</t>
        </is>
      </c>
      <c r="L507" s="663" t="e">
        <v>#REF!</v>
      </c>
    </row>
    <row r="508">
      <c r="B508" s="659" t="n">
        <v>100512</v>
      </c>
      <c r="C508" s="661" t="inlineStr">
        <is>
          <t>2038A</t>
        </is>
      </c>
      <c r="D508" s="661" t="inlineStr">
        <is>
          <t>THUONGVIET</t>
        </is>
      </c>
      <c r="E508" s="661" t="inlineStr">
        <is>
          <t>LBL</t>
        </is>
      </c>
      <c r="F508" s="661" t="inlineStr">
        <is>
          <t>SMALL OTTOMAN GREEN STICKER</t>
        </is>
      </c>
      <c r="G508" s="662" t="inlineStr">
        <is>
          <t>D</t>
        </is>
      </c>
      <c r="L508" s="663" t="e">
        <v>#REF!</v>
      </c>
    </row>
    <row r="509">
      <c r="B509" s="659" t="n">
        <v>100571</v>
      </c>
      <c r="C509" s="661" t="inlineStr">
        <is>
          <t>2053A</t>
        </is>
      </c>
      <c r="D509" s="661" t="inlineStr">
        <is>
          <t>A&amp;E</t>
        </is>
      </c>
      <c r="E509" s="661" t="inlineStr">
        <is>
          <t>RTH</t>
        </is>
      </c>
      <c r="F509" s="661" t="inlineStr">
        <is>
          <t>THREAD-BONNY 3929 TEX70</t>
        </is>
      </c>
      <c r="G509" s="662" t="inlineStr">
        <is>
          <t>D</t>
        </is>
      </c>
      <c r="L509" s="663" t="e">
        <v>#REF!</v>
      </c>
    </row>
    <row r="510">
      <c r="B510" s="659" t="n">
        <v>100604</v>
      </c>
      <c r="C510" s="661" t="inlineStr">
        <is>
          <t>3A</t>
        </is>
      </c>
      <c r="D510" s="661" t="inlineStr">
        <is>
          <t>Wanvog</t>
        </is>
      </c>
      <c r="E510" s="661" t="inlineStr">
        <is>
          <t>RBT</t>
        </is>
      </c>
      <c r="F510" s="661" t="inlineStr">
        <is>
          <t>BUTTON -58001(B) #30 J-HOOK</t>
        </is>
      </c>
      <c r="G510" s="662" t="inlineStr">
        <is>
          <t>I</t>
        </is>
      </c>
      <c r="L510" s="663" t="e">
        <v>#REF!</v>
      </c>
    </row>
    <row r="511">
      <c r="B511" s="659" t="n">
        <v>100606</v>
      </c>
      <c r="C511" s="661" t="inlineStr">
        <is>
          <t>2038A</t>
        </is>
      </c>
      <c r="D511" s="661" t="inlineStr">
        <is>
          <t>THUONGVIET</t>
        </is>
      </c>
      <c r="E511" s="661" t="inlineStr">
        <is>
          <t>LBL</t>
        </is>
      </c>
      <c r="F511" s="661" t="inlineStr">
        <is>
          <t>LARGER CARTON PINK STICKER</t>
        </is>
      </c>
      <c r="G511" s="662" t="inlineStr">
        <is>
          <t>D</t>
        </is>
      </c>
      <c r="L511" s="663" t="e">
        <v>#REF!</v>
      </c>
    </row>
    <row r="512">
      <c r="B512" s="659" t="n">
        <v>100607</v>
      </c>
      <c r="C512" s="661" t="inlineStr">
        <is>
          <t>2038A</t>
        </is>
      </c>
      <c r="D512" s="661" t="inlineStr">
        <is>
          <t>THUONGVIET</t>
        </is>
      </c>
      <c r="E512" s="661" t="inlineStr">
        <is>
          <t>LBL</t>
        </is>
      </c>
      <c r="F512" s="661" t="inlineStr">
        <is>
          <t>LEG TIE INSIDE CYAN STICKER</t>
        </is>
      </c>
      <c r="G512" s="662" t="inlineStr">
        <is>
          <t>D</t>
        </is>
      </c>
      <c r="L512" s="663" t="e">
        <v>#REF!</v>
      </c>
    </row>
    <row r="513">
      <c r="B513" s="659" t="n">
        <v>100608</v>
      </c>
      <c r="C513" s="661" t="inlineStr">
        <is>
          <t>2053A</t>
        </is>
      </c>
      <c r="D513" s="661" t="inlineStr">
        <is>
          <t>A&amp;E</t>
        </is>
      </c>
      <c r="E513" s="661" t="inlineStr">
        <is>
          <t>RTH</t>
        </is>
      </c>
      <c r="F513" s="661" t="inlineStr">
        <is>
          <t>THREAD-BONNY NU0006 TEX350</t>
        </is>
      </c>
      <c r="G513" s="662" t="inlineStr">
        <is>
          <t>D</t>
        </is>
      </c>
      <c r="H513" s="664" t="n">
        <v>1008</v>
      </c>
      <c r="I513" s="665" t="n">
        <v>7.09</v>
      </c>
      <c r="J513" s="666" t="inlineStr">
        <is>
          <t>KM</t>
        </is>
      </c>
      <c r="L513" s="663" t="e">
        <v>#REF!</v>
      </c>
    </row>
    <row r="514">
      <c r="B514" s="659" t="n">
        <v>100625</v>
      </c>
      <c r="C514" s="661" t="inlineStr">
        <is>
          <t>2038A</t>
        </is>
      </c>
      <c r="D514" s="661" t="inlineStr">
        <is>
          <t>THUONGVIET</t>
        </is>
      </c>
      <c r="E514" s="661" t="inlineStr">
        <is>
          <t>LBL</t>
        </is>
      </c>
      <c r="F514" s="661" t="inlineStr">
        <is>
          <t>PINK SHADE TAG LABEL 16MM*26MM</t>
        </is>
      </c>
      <c r="G514" s="662" t="inlineStr">
        <is>
          <t>D</t>
        </is>
      </c>
      <c r="L514" s="663" t="e">
        <v>#REF!</v>
      </c>
    </row>
    <row r="515">
      <c r="B515" s="659" t="n">
        <v>100630</v>
      </c>
      <c r="C515" s="661" t="inlineStr">
        <is>
          <t>2049A</t>
        </is>
      </c>
      <c r="D515" s="661" t="inlineStr">
        <is>
          <t>HIEP THANH</t>
        </is>
      </c>
      <c r="E515" s="661" t="inlineStr">
        <is>
          <t>MISN</t>
        </is>
      </c>
      <c r="F515" s="661" t="inlineStr">
        <is>
          <t>HONEYCOMB 180X80X30MM</t>
        </is>
      </c>
      <c r="G515" s="662" t="inlineStr">
        <is>
          <t>D</t>
        </is>
      </c>
      <c r="L515" s="663" t="e">
        <v>#REF!</v>
      </c>
    </row>
    <row r="516">
      <c r="B516" s="659" t="n">
        <v>100632</v>
      </c>
      <c r="C516" s="661" t="inlineStr">
        <is>
          <t>2053A</t>
        </is>
      </c>
      <c r="D516" s="661" t="inlineStr">
        <is>
          <t>A&amp;E</t>
        </is>
      </c>
      <c r="E516" s="661" t="inlineStr">
        <is>
          <t>RTH</t>
        </is>
      </c>
      <c r="F516" s="661" t="inlineStr">
        <is>
          <t>THREAD-BONNY NU0236 TEX350</t>
        </is>
      </c>
      <c r="G516" s="662" t="inlineStr">
        <is>
          <t>D</t>
        </is>
      </c>
      <c r="L516" s="663" t="e">
        <v>#REF!</v>
      </c>
    </row>
    <row r="517">
      <c r="B517" s="659" t="n">
        <v>100634</v>
      </c>
      <c r="C517" s="661" t="inlineStr">
        <is>
          <t>2053A</t>
        </is>
      </c>
      <c r="D517" s="661" t="inlineStr">
        <is>
          <t>A&amp;E</t>
        </is>
      </c>
      <c r="E517" s="661" t="inlineStr">
        <is>
          <t>RTH</t>
        </is>
      </c>
      <c r="F517" s="661" t="inlineStr">
        <is>
          <t>THREAD-BONNY 012391 TEX350</t>
        </is>
      </c>
      <c r="G517" s="662" t="inlineStr">
        <is>
          <t>D</t>
        </is>
      </c>
      <c r="H517" s="664" t="n">
        <v>1008</v>
      </c>
      <c r="I517" s="665" t="n">
        <v>7.09</v>
      </c>
      <c r="J517" s="666" t="inlineStr">
        <is>
          <t>KM</t>
        </is>
      </c>
      <c r="L517" s="663" t="e">
        <v>#REF!</v>
      </c>
    </row>
    <row r="518">
      <c r="B518" s="659" t="n">
        <v>100636</v>
      </c>
      <c r="C518" s="661" t="inlineStr">
        <is>
          <t>2021A</t>
        </is>
      </c>
      <c r="D518" s="661" t="inlineStr">
        <is>
          <t>SUPPER FOA</t>
        </is>
      </c>
      <c r="E518" s="661" t="inlineStr">
        <is>
          <t>MISN</t>
        </is>
      </c>
      <c r="F518" s="661" t="inlineStr">
        <is>
          <t>SEPARATE FOAM 800X1000X2MM</t>
        </is>
      </c>
      <c r="G518" s="662" t="inlineStr">
        <is>
          <t>D</t>
        </is>
      </c>
      <c r="L518" s="663" t="e">
        <v>#REF!</v>
      </c>
    </row>
    <row r="519">
      <c r="B519" s="659" t="n">
        <v>100645</v>
      </c>
      <c r="C519" s="661" t="inlineStr">
        <is>
          <t>2049A</t>
        </is>
      </c>
      <c r="D519" s="661" t="inlineStr">
        <is>
          <t>HIEP THANH</t>
        </is>
      </c>
      <c r="E519" s="661" t="inlineStr">
        <is>
          <t>MISN</t>
        </is>
      </c>
      <c r="F519" s="661" t="inlineStr">
        <is>
          <t>FIBER BOARD 700X650X1.0MM</t>
        </is>
      </c>
      <c r="G519" s="662" t="inlineStr">
        <is>
          <t>D</t>
        </is>
      </c>
      <c r="L519" s="663" t="e">
        <v>#REF!</v>
      </c>
    </row>
    <row r="520">
      <c r="B520" s="659" t="n">
        <v>100648</v>
      </c>
      <c r="C520" s="661" t="inlineStr">
        <is>
          <t>2049A</t>
        </is>
      </c>
      <c r="D520" s="661" t="inlineStr">
        <is>
          <t>HIEP THANH</t>
        </is>
      </c>
      <c r="E520" s="661" t="inlineStr">
        <is>
          <t>MISN</t>
        </is>
      </c>
      <c r="F520" s="661" t="inlineStr">
        <is>
          <t>FIBER BOARD 800X700X1.0MM</t>
        </is>
      </c>
      <c r="G520" s="662" t="inlineStr">
        <is>
          <t>D</t>
        </is>
      </c>
      <c r="L520" s="663" t="e">
        <v>#REF!</v>
      </c>
    </row>
    <row r="521">
      <c r="B521" s="659" t="n">
        <v>100650</v>
      </c>
      <c r="C521" s="661" t="inlineStr">
        <is>
          <t>2049A</t>
        </is>
      </c>
      <c r="D521" s="661" t="inlineStr">
        <is>
          <t>HIEP THANH</t>
        </is>
      </c>
      <c r="E521" s="661" t="inlineStr">
        <is>
          <t>MISN</t>
        </is>
      </c>
      <c r="F521" s="661" t="inlineStr">
        <is>
          <t>FIBER BOARD 850X650X1.0MM</t>
        </is>
      </c>
      <c r="G521" s="662" t="inlineStr">
        <is>
          <t>D</t>
        </is>
      </c>
      <c r="L521" s="663" t="e">
        <v>#REF!</v>
      </c>
    </row>
    <row r="522">
      <c r="B522" s="659" t="n">
        <v>100653</v>
      </c>
      <c r="C522" s="661" t="inlineStr">
        <is>
          <t>2049A</t>
        </is>
      </c>
      <c r="D522" s="661" t="inlineStr">
        <is>
          <t>HIEP THANH</t>
        </is>
      </c>
      <c r="E522" s="661" t="inlineStr">
        <is>
          <t>MISN</t>
        </is>
      </c>
      <c r="F522" s="661" t="inlineStr">
        <is>
          <t>FIBER BOARD 900X750X1.0MM</t>
        </is>
      </c>
      <c r="G522" s="662" t="inlineStr">
        <is>
          <t>D</t>
        </is>
      </c>
      <c r="L522" s="663" t="e">
        <v>#REF!</v>
      </c>
    </row>
    <row r="523">
      <c r="B523" s="659" t="n">
        <v>100655</v>
      </c>
      <c r="C523" s="661" t="inlineStr">
        <is>
          <t>2049A</t>
        </is>
      </c>
      <c r="D523" s="661" t="inlineStr">
        <is>
          <t>HIEP THANH</t>
        </is>
      </c>
      <c r="E523" s="661" t="inlineStr">
        <is>
          <t>MISN</t>
        </is>
      </c>
      <c r="F523" s="661" t="inlineStr">
        <is>
          <t>FIBER BOARD 950X700X1.0MM</t>
        </is>
      </c>
      <c r="G523" s="662" t="inlineStr">
        <is>
          <t>D</t>
        </is>
      </c>
      <c r="L523" s="663" t="e">
        <v>#REF!</v>
      </c>
    </row>
    <row r="524">
      <c r="B524" s="659" t="n">
        <v>100657</v>
      </c>
      <c r="C524" s="661" t="inlineStr">
        <is>
          <t>2049A</t>
        </is>
      </c>
      <c r="D524" s="661" t="inlineStr">
        <is>
          <t>HIEP THANH</t>
        </is>
      </c>
      <c r="E524" s="661" t="inlineStr">
        <is>
          <t>MISN</t>
        </is>
      </c>
      <c r="F524" s="661" t="inlineStr">
        <is>
          <t>FIBER BOARD 1000X650X1.0MM</t>
        </is>
      </c>
      <c r="G524" s="662" t="inlineStr">
        <is>
          <t>D</t>
        </is>
      </c>
      <c r="L524" s="663" t="e">
        <v>#REF!</v>
      </c>
    </row>
    <row r="525">
      <c r="B525" s="659" t="n">
        <v>100659</v>
      </c>
      <c r="C525" s="661" t="inlineStr">
        <is>
          <t>2049A</t>
        </is>
      </c>
      <c r="D525" s="661" t="inlineStr">
        <is>
          <t>HIEP THANH</t>
        </is>
      </c>
      <c r="E525" s="661" t="inlineStr">
        <is>
          <t>MISN</t>
        </is>
      </c>
      <c r="F525" s="661" t="inlineStr">
        <is>
          <t>FIBER BOARD 1050X650X1.0MM</t>
        </is>
      </c>
      <c r="G525" s="662" t="inlineStr">
        <is>
          <t>D</t>
        </is>
      </c>
      <c r="L525" s="663" t="e">
        <v>#REF!</v>
      </c>
    </row>
    <row r="526">
      <c r="B526" s="659" t="n">
        <v>100665</v>
      </c>
      <c r="C526" s="661" t="inlineStr">
        <is>
          <t>2049A</t>
        </is>
      </c>
      <c r="D526" s="661" t="inlineStr">
        <is>
          <t>HIEP THANH</t>
        </is>
      </c>
      <c r="E526" s="661" t="inlineStr">
        <is>
          <t>MISN</t>
        </is>
      </c>
      <c r="F526" s="661" t="inlineStr">
        <is>
          <t>FIBER BOARD 1200X700X1.0MM</t>
        </is>
      </c>
      <c r="G526" s="662" t="inlineStr">
        <is>
          <t>D</t>
        </is>
      </c>
      <c r="L526" s="663" t="e">
        <v>#REF!</v>
      </c>
    </row>
    <row r="527">
      <c r="B527" s="659" t="n">
        <v>100667</v>
      </c>
      <c r="C527" s="661" t="inlineStr">
        <is>
          <t>2053A</t>
        </is>
      </c>
      <c r="D527" s="661" t="inlineStr">
        <is>
          <t>A&amp;E</t>
        </is>
      </c>
      <c r="E527" s="661" t="inlineStr">
        <is>
          <t>RTH</t>
        </is>
      </c>
      <c r="F527" s="661" t="inlineStr">
        <is>
          <t>SOFT THREAD-NYLON 035103 TEX70</t>
        </is>
      </c>
      <c r="G527" s="662" t="inlineStr">
        <is>
          <t>D</t>
        </is>
      </c>
      <c r="H527" s="664" t="n">
        <v>1008</v>
      </c>
      <c r="I527" s="665" t="n">
        <v>0.88</v>
      </c>
      <c r="J527" s="666" t="inlineStr">
        <is>
          <t>KM</t>
        </is>
      </c>
      <c r="L527" s="663" t="e">
        <v>#REF!</v>
      </c>
    </row>
    <row r="528">
      <c r="B528" s="659" t="n">
        <v>100668</v>
      </c>
      <c r="C528" s="661" t="inlineStr">
        <is>
          <t>2053A</t>
        </is>
      </c>
      <c r="D528" s="661" t="inlineStr">
        <is>
          <t>A&amp;E</t>
        </is>
      </c>
      <c r="E528" s="661" t="inlineStr">
        <is>
          <t>RTH</t>
        </is>
      </c>
      <c r="F528" s="661" t="inlineStr">
        <is>
          <t>SOFT THREAD-NYLON BLACK TEX70</t>
        </is>
      </c>
      <c r="G528" s="662" t="inlineStr">
        <is>
          <t>D</t>
        </is>
      </c>
      <c r="H528" s="664" t="n">
        <v>1008</v>
      </c>
      <c r="I528" s="665" t="n">
        <v>0.88</v>
      </c>
      <c r="J528" s="666" t="inlineStr">
        <is>
          <t>KM</t>
        </is>
      </c>
      <c r="L528" s="663" t="e">
        <v>#REF!</v>
      </c>
    </row>
    <row r="529">
      <c r="B529" s="659" t="n">
        <v>100669</v>
      </c>
      <c r="C529" s="661" t="inlineStr">
        <is>
          <t>2053A</t>
        </is>
      </c>
      <c r="D529" s="661" t="inlineStr">
        <is>
          <t>A&amp;E</t>
        </is>
      </c>
      <c r="E529" s="661" t="inlineStr">
        <is>
          <t>RTH</t>
        </is>
      </c>
      <c r="F529" s="661" t="inlineStr">
        <is>
          <t>THREAD-BONNY 2003A TEX135</t>
        </is>
      </c>
      <c r="G529" s="662" t="inlineStr">
        <is>
          <t>D</t>
        </is>
      </c>
      <c r="L529" s="663" t="e">
        <v>#REF!</v>
      </c>
    </row>
    <row r="530">
      <c r="B530" s="659" t="n">
        <v>100670</v>
      </c>
      <c r="C530" s="661" t="inlineStr">
        <is>
          <t>2053A</t>
        </is>
      </c>
      <c r="D530" s="661" t="inlineStr">
        <is>
          <t>A&amp;E</t>
        </is>
      </c>
      <c r="E530" s="661" t="inlineStr">
        <is>
          <t>RTH</t>
        </is>
      </c>
      <c r="F530" s="661" t="inlineStr">
        <is>
          <t>THREAD-BONNY 12061 TEX135</t>
        </is>
      </c>
      <c r="G530" s="662" t="inlineStr">
        <is>
          <t>D</t>
        </is>
      </c>
      <c r="L530" s="663" t="e">
        <v>#REF!</v>
      </c>
    </row>
    <row r="531">
      <c r="B531" s="659" t="n">
        <v>100677</v>
      </c>
      <c r="C531" s="661" t="inlineStr">
        <is>
          <t>2053A</t>
        </is>
      </c>
      <c r="D531" s="661" t="inlineStr">
        <is>
          <t>A&amp;E</t>
        </is>
      </c>
      <c r="E531" s="661" t="inlineStr">
        <is>
          <t>RTH</t>
        </is>
      </c>
      <c r="F531" s="661" t="inlineStr">
        <is>
          <t>THREAD-PERCOR 235 TEX40</t>
        </is>
      </c>
      <c r="G531" s="662" t="inlineStr">
        <is>
          <t>D</t>
        </is>
      </c>
      <c r="H531" s="664" t="n">
        <v>1008</v>
      </c>
      <c r="I531" s="665" t="n">
        <v>0.53</v>
      </c>
      <c r="J531" s="666" t="inlineStr">
        <is>
          <t>KM</t>
        </is>
      </c>
      <c r="L531" s="663" t="e">
        <v>#REF!</v>
      </c>
    </row>
    <row r="532">
      <c r="B532" s="659" t="n">
        <v>100686</v>
      </c>
      <c r="C532" s="661" t="inlineStr">
        <is>
          <t>3A</t>
        </is>
      </c>
      <c r="D532" s="661" t="inlineStr">
        <is>
          <t>Wanvog</t>
        </is>
      </c>
      <c r="E532" s="661" t="inlineStr">
        <is>
          <t>RBT</t>
        </is>
      </c>
      <c r="F532" s="661" t="inlineStr">
        <is>
          <t>BUTTON-67001 #60SHELL/J HOOK</t>
        </is>
      </c>
      <c r="G532" s="662" t="inlineStr">
        <is>
          <t>I</t>
        </is>
      </c>
      <c r="L532" s="663" t="e">
        <v>#REF!</v>
      </c>
    </row>
    <row r="533">
      <c r="B533" s="659" t="n">
        <v>100688</v>
      </c>
      <c r="C533" s="661" t="inlineStr">
        <is>
          <t>2049A</t>
        </is>
      </c>
      <c r="D533" s="661" t="inlineStr">
        <is>
          <t>HIEP THANH</t>
        </is>
      </c>
      <c r="E533" s="661" t="inlineStr">
        <is>
          <t>MISN</t>
        </is>
      </c>
      <c r="F533" s="661" t="inlineStr">
        <is>
          <t>HONEYCOMB 80X80X30MM</t>
        </is>
      </c>
      <c r="G533" s="662" t="inlineStr">
        <is>
          <t>D</t>
        </is>
      </c>
      <c r="L533" s="663" t="e">
        <v>#REF!</v>
      </c>
    </row>
    <row r="534">
      <c r="B534" s="659" t="n">
        <v>100697</v>
      </c>
      <c r="C534" s="661" t="inlineStr">
        <is>
          <t>2053A</t>
        </is>
      </c>
      <c r="D534" s="661" t="inlineStr">
        <is>
          <t>A&amp;E</t>
        </is>
      </c>
      <c r="E534" s="661" t="inlineStr">
        <is>
          <t>RTH</t>
        </is>
      </c>
      <c r="F534" s="661" t="inlineStr">
        <is>
          <t>THREAD-BONNY AN0056 TEX270</t>
        </is>
      </c>
      <c r="G534" s="662" t="inlineStr">
        <is>
          <t>D</t>
        </is>
      </c>
      <c r="L534" s="663" t="e">
        <v>#REF!</v>
      </c>
    </row>
    <row r="535">
      <c r="B535" s="659" t="n">
        <v>100701</v>
      </c>
      <c r="C535" s="661" t="inlineStr">
        <is>
          <t>2053A</t>
        </is>
      </c>
      <c r="D535" s="661" t="inlineStr">
        <is>
          <t>A&amp;E</t>
        </is>
      </c>
      <c r="E535" s="661" t="inlineStr">
        <is>
          <t>RTH</t>
        </is>
      </c>
      <c r="F535" s="661" t="inlineStr">
        <is>
          <t>THREAD-BONNY 11918 TEX350</t>
        </is>
      </c>
      <c r="G535" s="662" t="inlineStr">
        <is>
          <t>D</t>
        </is>
      </c>
      <c r="L535" s="663" t="e">
        <v>#REF!</v>
      </c>
    </row>
    <row r="536">
      <c r="B536" s="659" t="n">
        <v>100702</v>
      </c>
      <c r="C536" s="661" t="inlineStr">
        <is>
          <t>2125A</t>
        </is>
      </c>
      <c r="D536" s="661" t="inlineStr">
        <is>
          <t>HEICO</t>
        </is>
      </c>
      <c r="E536" s="661" t="inlineStr">
        <is>
          <t>UEUS</t>
        </is>
      </c>
      <c r="F536" s="661" t="inlineStr">
        <is>
          <t>U-BRAD 5/8" PEWTER</t>
        </is>
      </c>
      <c r="G536" s="662" t="inlineStr">
        <is>
          <t>I</t>
        </is>
      </c>
      <c r="L536" s="663" t="e">
        <v>#REF!</v>
      </c>
    </row>
    <row r="537">
      <c r="B537" s="659" t="n">
        <v>100703</v>
      </c>
      <c r="C537" s="661" t="inlineStr">
        <is>
          <t>2125A</t>
        </is>
      </c>
      <c r="D537" s="661" t="inlineStr">
        <is>
          <t>HEICO</t>
        </is>
      </c>
      <c r="E537" s="661" t="inlineStr">
        <is>
          <t>UEUS</t>
        </is>
      </c>
      <c r="F537" s="661" t="inlineStr">
        <is>
          <t>U-BRAD 3/8" NATURAL</t>
        </is>
      </c>
      <c r="G537" s="662" t="inlineStr">
        <is>
          <t>I</t>
        </is>
      </c>
      <c r="H537" s="664" t="n">
        <v>1052</v>
      </c>
      <c r="I537" s="665" t="n">
        <v>0.0077</v>
      </c>
      <c r="J537" s="666" t="inlineStr">
        <is>
          <t>EA</t>
        </is>
      </c>
      <c r="L537" s="663" t="e">
        <v>#REF!</v>
      </c>
    </row>
    <row r="538">
      <c r="B538" s="659" t="n">
        <v>100712</v>
      </c>
      <c r="C538" s="661" t="inlineStr">
        <is>
          <t>2053A</t>
        </is>
      </c>
      <c r="D538" s="661" t="inlineStr">
        <is>
          <t>A&amp;E</t>
        </is>
      </c>
      <c r="E538" s="661" t="inlineStr">
        <is>
          <t>RTH</t>
        </is>
      </c>
      <c r="F538" s="661" t="inlineStr">
        <is>
          <t>THREAD-BONNY FU0330B TEX350</t>
        </is>
      </c>
      <c r="G538" s="662" t="inlineStr">
        <is>
          <t>D</t>
        </is>
      </c>
      <c r="L538" s="663" t="e">
        <v>#REF!</v>
      </c>
    </row>
    <row r="539">
      <c r="B539" s="659" t="n">
        <v>100715</v>
      </c>
      <c r="C539" s="661" t="inlineStr">
        <is>
          <t>2053A</t>
        </is>
      </c>
      <c r="D539" s="661" t="inlineStr">
        <is>
          <t>A&amp;E</t>
        </is>
      </c>
      <c r="E539" s="661" t="inlineStr">
        <is>
          <t>RTH</t>
        </is>
      </c>
      <c r="F539" s="661" t="inlineStr">
        <is>
          <t>THREAD-BONNY AN0151 TEX350</t>
        </is>
      </c>
      <c r="G539" s="662" t="inlineStr">
        <is>
          <t>D</t>
        </is>
      </c>
      <c r="L539" s="663" t="e">
        <v>#REF!</v>
      </c>
    </row>
    <row r="540">
      <c r="B540" s="659" t="n">
        <v>100730</v>
      </c>
      <c r="C540" s="661" t="inlineStr">
        <is>
          <t>2053A</t>
        </is>
      </c>
      <c r="D540" s="661" t="inlineStr">
        <is>
          <t>A&amp;E</t>
        </is>
      </c>
      <c r="E540" s="661" t="inlineStr">
        <is>
          <t>RTH</t>
        </is>
      </c>
      <c r="F540" s="661" t="inlineStr">
        <is>
          <t>THREAD BONNY R WHITE TEX70</t>
        </is>
      </c>
      <c r="G540" s="662" t="inlineStr">
        <is>
          <t>D</t>
        </is>
      </c>
      <c r="L540" s="663" t="e">
        <v>#REF!</v>
      </c>
    </row>
    <row r="541">
      <c r="B541" s="659" t="n">
        <v>100731</v>
      </c>
      <c r="C541" s="661" t="inlineStr">
        <is>
          <t>3A</t>
        </is>
      </c>
      <c r="D541" s="661" t="inlineStr">
        <is>
          <t>Wanvog</t>
        </is>
      </c>
      <c r="E541" s="661" t="inlineStr">
        <is>
          <t>RBT</t>
        </is>
      </c>
      <c r="F541" s="661" t="inlineStr">
        <is>
          <t>BUTTON-67002 #60SHELL/J HOOK</t>
        </is>
      </c>
      <c r="G541" s="662" t="inlineStr">
        <is>
          <t>I</t>
        </is>
      </c>
      <c r="L541" s="663" t="e">
        <v>#REF!</v>
      </c>
    </row>
    <row r="542">
      <c r="B542" s="659" t="n">
        <v>100733</v>
      </c>
      <c r="C542" s="661" t="inlineStr">
        <is>
          <t>2053A</t>
        </is>
      </c>
      <c r="D542" s="661" t="inlineStr">
        <is>
          <t>A&amp;E</t>
        </is>
      </c>
      <c r="E542" s="661" t="inlineStr">
        <is>
          <t>RTH</t>
        </is>
      </c>
      <c r="F542" s="661" t="inlineStr">
        <is>
          <t>THREAD BONNY FK0375B TEX350</t>
        </is>
      </c>
      <c r="G542" s="662" t="inlineStr">
        <is>
          <t>D</t>
        </is>
      </c>
      <c r="L542" s="663" t="e">
        <v>#REF!</v>
      </c>
    </row>
    <row r="543">
      <c r="B543" s="659" t="n">
        <v>100735</v>
      </c>
      <c r="C543" s="661" t="inlineStr">
        <is>
          <t>2053A</t>
        </is>
      </c>
      <c r="D543" s="661" t="inlineStr">
        <is>
          <t>A&amp;E</t>
        </is>
      </c>
      <c r="E543" s="661" t="inlineStr">
        <is>
          <t>RTH</t>
        </is>
      </c>
      <c r="F543" s="661" t="inlineStr">
        <is>
          <t>THREAD BONNY FK0376A TEX135</t>
        </is>
      </c>
      <c r="G543" s="662" t="inlineStr">
        <is>
          <t>D</t>
        </is>
      </c>
      <c r="L543" s="663" t="e">
        <v>#REF!</v>
      </c>
    </row>
    <row r="544">
      <c r="B544" s="659" t="n">
        <v>100736</v>
      </c>
      <c r="C544" s="661" t="inlineStr">
        <is>
          <t>3A</t>
        </is>
      </c>
      <c r="D544" s="661" t="inlineStr">
        <is>
          <t>Wanvog</t>
        </is>
      </c>
      <c r="E544" s="661" t="inlineStr">
        <is>
          <t>RBT</t>
        </is>
      </c>
      <c r="F544" s="661" t="inlineStr">
        <is>
          <t>BUTTON51000(B)#60SHELL/J HOOK</t>
        </is>
      </c>
      <c r="G544" s="662" t="inlineStr">
        <is>
          <t>I</t>
        </is>
      </c>
      <c r="L544" s="663" t="e">
        <v>#REF!</v>
      </c>
    </row>
    <row r="545">
      <c r="B545" s="659" t="n">
        <v>100737</v>
      </c>
      <c r="C545" s="661" t="inlineStr">
        <is>
          <t>3A</t>
        </is>
      </c>
      <c r="D545" s="661" t="inlineStr">
        <is>
          <t>Wanvog</t>
        </is>
      </c>
      <c r="E545" s="661" t="inlineStr">
        <is>
          <t>RBT</t>
        </is>
      </c>
      <c r="F545" s="661" t="inlineStr">
        <is>
          <t>BUTTON51000(C)#60SHELL/J HOOK</t>
        </is>
      </c>
      <c r="G545" s="662" t="inlineStr">
        <is>
          <t>I</t>
        </is>
      </c>
      <c r="L545" s="663" t="e">
        <v>#REF!</v>
      </c>
    </row>
    <row r="546">
      <c r="B546" s="659" t="n">
        <v>100739</v>
      </c>
      <c r="C546" s="661" t="inlineStr">
        <is>
          <t>2053A</t>
        </is>
      </c>
      <c r="D546" s="661" t="inlineStr">
        <is>
          <t>A&amp;E</t>
        </is>
      </c>
      <c r="E546" s="661" t="inlineStr">
        <is>
          <t>RTH</t>
        </is>
      </c>
      <c r="F546" s="661" t="inlineStr">
        <is>
          <t>THREAD BONNY FT0335A TEX350</t>
        </is>
      </c>
      <c r="G546" s="662" t="inlineStr">
        <is>
          <t>D</t>
        </is>
      </c>
      <c r="L546" s="663" t="e">
        <v>#REF!</v>
      </c>
    </row>
    <row r="547">
      <c r="B547" s="659" t="n">
        <v>100741</v>
      </c>
      <c r="C547" s="661" t="inlineStr">
        <is>
          <t>2053A</t>
        </is>
      </c>
      <c r="D547" s="661" t="inlineStr">
        <is>
          <t>A&amp;E</t>
        </is>
      </c>
      <c r="E547" s="661" t="inlineStr">
        <is>
          <t>RTH</t>
        </is>
      </c>
      <c r="F547" s="661" t="inlineStr">
        <is>
          <t>THREAD BONNY NT0024 TEX135</t>
        </is>
      </c>
      <c r="G547" s="662" t="inlineStr">
        <is>
          <t>D</t>
        </is>
      </c>
      <c r="L547" s="663" t="e">
        <v>#REF!</v>
      </c>
    </row>
    <row r="548">
      <c r="B548" s="659" t="n">
        <v>100747</v>
      </c>
      <c r="C548" s="661" t="inlineStr">
        <is>
          <t>2053A</t>
        </is>
      </c>
      <c r="D548" s="661" t="inlineStr">
        <is>
          <t>A&amp;E</t>
        </is>
      </c>
      <c r="E548" s="661" t="inlineStr">
        <is>
          <t>RTH</t>
        </is>
      </c>
      <c r="F548" s="661" t="inlineStr">
        <is>
          <t>THREAD-BONNY FU0378A TEX350</t>
        </is>
      </c>
      <c r="G548" s="662" t="inlineStr">
        <is>
          <t>D</t>
        </is>
      </c>
      <c r="L548" s="663" t="e">
        <v>#REF!</v>
      </c>
    </row>
    <row r="549">
      <c r="B549" s="659" t="n">
        <v>100776</v>
      </c>
      <c r="C549" s="661" t="inlineStr">
        <is>
          <t>2021A</t>
        </is>
      </c>
      <c r="D549" s="661" t="inlineStr">
        <is>
          <t>SUPPER FOA</t>
        </is>
      </c>
      <c r="E549" s="661" t="inlineStr">
        <is>
          <t>MISN</t>
        </is>
      </c>
      <c r="F549" s="661" t="inlineStr">
        <is>
          <t>FOAM PIECE 130X70X2MM</t>
        </is>
      </c>
      <c r="G549" s="662" t="inlineStr">
        <is>
          <t>D</t>
        </is>
      </c>
      <c r="L549" s="663" t="e">
        <v>#REF!</v>
      </c>
    </row>
    <row r="550">
      <c r="B550" s="659" t="n">
        <v>100795</v>
      </c>
      <c r="C550" s="661" t="inlineStr">
        <is>
          <t>2101A</t>
        </is>
      </c>
      <c r="D550" s="661" t="inlineStr">
        <is>
          <t>Fortune</t>
        </is>
      </c>
      <c r="E550" s="661" t="inlineStr">
        <is>
          <t>RBT</t>
        </is>
      </c>
      <c r="F550" s="661" t="inlineStr">
        <is>
          <t>BUTTON-73603#30SHELL/J HOOK</t>
        </is>
      </c>
      <c r="G550" s="662" t="inlineStr">
        <is>
          <t>I</t>
        </is>
      </c>
      <c r="L550" s="663" t="e">
        <v>#REF!</v>
      </c>
    </row>
    <row r="551">
      <c r="B551" s="659" t="n">
        <v>100800</v>
      </c>
      <c r="C551" s="661" t="inlineStr">
        <is>
          <t>2021A</t>
        </is>
      </c>
      <c r="D551" s="661" t="inlineStr">
        <is>
          <t>SUPPER FOA</t>
        </is>
      </c>
      <c r="E551" s="661" t="inlineStr">
        <is>
          <t>MISN</t>
        </is>
      </c>
      <c r="F551" s="661" t="inlineStr">
        <is>
          <t>FOAM PIECE 177X70X2MM</t>
        </is>
      </c>
      <c r="G551" s="662" t="inlineStr">
        <is>
          <t>D</t>
        </is>
      </c>
      <c r="L551" s="663" t="e">
        <v>#REF!</v>
      </c>
    </row>
    <row r="552">
      <c r="B552" s="677" t="n">
        <v>200074</v>
      </c>
      <c r="C552" s="661" t="inlineStr">
        <is>
          <t>2064A</t>
        </is>
      </c>
      <c r="D552" s="661" t="inlineStr">
        <is>
          <t>Q.TRUONG</t>
        </is>
      </c>
      <c r="E552" s="661" t="inlineStr">
        <is>
          <t>HDWR</t>
        </is>
      </c>
      <c r="F552" s="661" t="inlineStr">
        <is>
          <t>THREADED INSERT(5/16"-18X25MM)</t>
        </is>
      </c>
      <c r="G552" s="662" t="inlineStr">
        <is>
          <t>D</t>
        </is>
      </c>
      <c r="L552" s="663" t="e">
        <v>#REF!</v>
      </c>
    </row>
    <row r="553">
      <c r="B553" s="677" t="n">
        <v>200088</v>
      </c>
      <c r="C553" s="661" t="inlineStr">
        <is>
          <t>2064A</t>
        </is>
      </c>
      <c r="D553" s="661" t="inlineStr">
        <is>
          <t>Q.TRUONG</t>
        </is>
      </c>
      <c r="E553" s="661" t="inlineStr">
        <is>
          <t>HDWR</t>
        </is>
      </c>
      <c r="F553" s="661" t="inlineStr">
        <is>
          <t>THREAD STUD(5/16"-18X2.5")</t>
        </is>
      </c>
      <c r="G553" s="662" t="inlineStr">
        <is>
          <t>D</t>
        </is>
      </c>
      <c r="L553" s="663" t="e">
        <v>#REF!</v>
      </c>
    </row>
    <row r="554">
      <c r="B554" s="659" t="n">
        <v>350034</v>
      </c>
      <c r="C554" s="661" t="inlineStr">
        <is>
          <t>2123A</t>
        </is>
      </c>
      <c r="D554" s="661" t="inlineStr">
        <is>
          <t>TIFNIL</t>
        </is>
      </c>
      <c r="E554" s="661" t="inlineStr">
        <is>
          <t>RPUI</t>
        </is>
      </c>
      <c r="F554" s="661" t="inlineStr">
        <is>
          <t>RELEASE AGENT TIFNIL</t>
        </is>
      </c>
      <c r="G554" s="662" t="inlineStr">
        <is>
          <t>I</t>
        </is>
      </c>
      <c r="L554" s="663" t="e">
        <v>#REF!</v>
      </c>
    </row>
    <row r="555">
      <c r="B555" s="659" t="n">
        <v>400040</v>
      </c>
      <c r="C555" s="661" t="inlineStr">
        <is>
          <t>2038A</t>
        </is>
      </c>
      <c r="D555" s="661" t="inlineStr">
        <is>
          <t>THUONGVIET</t>
        </is>
      </c>
      <c r="E555" s="661" t="inlineStr">
        <is>
          <t>UEPM</t>
        </is>
      </c>
      <c r="F555" s="661" t="inlineStr">
        <is>
          <t>PARTS INSIDE WARNING STRIP</t>
        </is>
      </c>
      <c r="G555" s="662" t="inlineStr">
        <is>
          <t>D</t>
        </is>
      </c>
      <c r="L555" s="663" t="e">
        <v>#REF!</v>
      </c>
    </row>
    <row r="556">
      <c r="B556" s="659" t="n">
        <v>400108</v>
      </c>
      <c r="C556" s="661" t="inlineStr">
        <is>
          <t>2065A</t>
        </is>
      </c>
      <c r="D556" s="661" t="inlineStr">
        <is>
          <t>HAN QUOC</t>
        </is>
      </c>
      <c r="E556" s="661" t="inlineStr">
        <is>
          <t>BAGE</t>
        </is>
      </c>
      <c r="F556" s="661" t="inlineStr">
        <is>
          <t>BUBBLE BAG 1750X250</t>
        </is>
      </c>
      <c r="G556" s="662" t="inlineStr">
        <is>
          <t>D</t>
        </is>
      </c>
      <c r="L556" s="663" t="e">
        <v>#REF!</v>
      </c>
    </row>
    <row r="557">
      <c r="B557" s="659" t="n">
        <v>400109</v>
      </c>
      <c r="C557" s="661" t="inlineStr">
        <is>
          <t>2065A</t>
        </is>
      </c>
      <c r="D557" s="661" t="inlineStr">
        <is>
          <t>HAN QUOC</t>
        </is>
      </c>
      <c r="E557" s="661" t="inlineStr">
        <is>
          <t>BAGE</t>
        </is>
      </c>
      <c r="F557" s="661" t="inlineStr">
        <is>
          <t>BUBBLE BAG 1300X250</t>
        </is>
      </c>
      <c r="G557" s="662" t="inlineStr">
        <is>
          <t>D</t>
        </is>
      </c>
      <c r="L557" s="663" t="e">
        <v>#REF!</v>
      </c>
    </row>
    <row r="558">
      <c r="B558" s="659" t="n">
        <v>400115</v>
      </c>
      <c r="C558" s="661" t="inlineStr">
        <is>
          <t>2065A</t>
        </is>
      </c>
      <c r="D558" s="661" t="inlineStr">
        <is>
          <t>HAN QUOC</t>
        </is>
      </c>
      <c r="E558" s="661" t="inlineStr">
        <is>
          <t>BAGE</t>
        </is>
      </c>
      <c r="F558" s="661" t="inlineStr">
        <is>
          <t>BUBBLE BAG 300X250</t>
        </is>
      </c>
      <c r="G558" s="662" t="inlineStr">
        <is>
          <t>D</t>
        </is>
      </c>
      <c r="L558" s="663" t="e">
        <v>#REF!</v>
      </c>
    </row>
    <row r="559">
      <c r="B559" s="659" t="n">
        <v>400161</v>
      </c>
      <c r="C559" s="661" t="inlineStr">
        <is>
          <t>2070A</t>
        </is>
      </c>
      <c r="D559" s="661" t="inlineStr">
        <is>
          <t>DUC AN</t>
        </is>
      </c>
      <c r="E559" s="661" t="inlineStr">
        <is>
          <t>UEPM</t>
        </is>
      </c>
      <c r="F559" s="661" t="inlineStr">
        <is>
          <t>EPS 60X60X60MM 13KG SC</t>
        </is>
      </c>
      <c r="G559" s="662" t="inlineStr">
        <is>
          <t>D</t>
        </is>
      </c>
      <c r="L559" s="663" t="e">
        <v>#REF!</v>
      </c>
    </row>
    <row r="560">
      <c r="B560" s="659" t="n">
        <v>400163</v>
      </c>
      <c r="C560" s="661" t="inlineStr">
        <is>
          <t>2065A</t>
        </is>
      </c>
      <c r="D560" s="661" t="inlineStr">
        <is>
          <t>HAN QUOC</t>
        </is>
      </c>
      <c r="E560" s="661" t="inlineStr">
        <is>
          <t>BAGE</t>
        </is>
      </c>
      <c r="F560" s="661" t="inlineStr">
        <is>
          <t>BUBBLE BAG 350X250</t>
        </is>
      </c>
      <c r="G560" s="662" t="inlineStr">
        <is>
          <t>D</t>
        </is>
      </c>
      <c r="L560" s="663" t="e">
        <v>#REF!</v>
      </c>
    </row>
    <row r="561">
      <c r="B561" s="659" t="n">
        <v>400248</v>
      </c>
      <c r="C561" s="661" t="inlineStr">
        <is>
          <t>2065A</t>
        </is>
      </c>
      <c r="D561" s="661" t="inlineStr">
        <is>
          <t>HAN QUOC</t>
        </is>
      </c>
      <c r="E561" s="661" t="inlineStr">
        <is>
          <t>BAGE</t>
        </is>
      </c>
      <c r="F561" s="661" t="inlineStr">
        <is>
          <t>BUBBLE BAG 1800X250MM</t>
        </is>
      </c>
      <c r="G561" s="662" t="inlineStr">
        <is>
          <t>D</t>
        </is>
      </c>
      <c r="L561" s="663" t="e">
        <v>#REF!</v>
      </c>
    </row>
    <row r="562">
      <c r="B562" s="659" t="n">
        <v>400294</v>
      </c>
      <c r="C562" s="661" t="inlineStr">
        <is>
          <t>2036A</t>
        </is>
      </c>
      <c r="D562" s="661" t="inlineStr">
        <is>
          <t>TIEN THANH</t>
        </is>
      </c>
      <c r="E562" s="661" t="inlineStr">
        <is>
          <t>BAGE</t>
        </is>
      </c>
      <c r="F562" s="661" t="inlineStr">
        <is>
          <t>PE BAG 350X450(DEPTH)MM-75753S</t>
        </is>
      </c>
      <c r="G562" s="662" t="inlineStr">
        <is>
          <t>D</t>
        </is>
      </c>
      <c r="L562" s="663" t="e">
        <v>#REF!</v>
      </c>
    </row>
    <row r="563">
      <c r="B563" s="659" t="n">
        <v>400342</v>
      </c>
      <c r="C563" s="661" t="inlineStr">
        <is>
          <t>2065A</t>
        </is>
      </c>
      <c r="D563" s="661" t="inlineStr">
        <is>
          <t>HAN QUOC</t>
        </is>
      </c>
      <c r="E563" s="661" t="inlineStr">
        <is>
          <t>BAGE</t>
        </is>
      </c>
      <c r="F563" s="661" t="inlineStr">
        <is>
          <t>BUBBLE BAG 2400X250MM</t>
        </is>
      </c>
      <c r="G563" s="662" t="inlineStr">
        <is>
          <t>D</t>
        </is>
      </c>
      <c r="L563" s="663" t="e">
        <v>#REF!</v>
      </c>
    </row>
    <row r="564">
      <c r="B564" s="659" t="n">
        <v>400367</v>
      </c>
      <c r="C564" s="661" t="inlineStr">
        <is>
          <t>2065A</t>
        </is>
      </c>
      <c r="D564" s="661" t="inlineStr">
        <is>
          <t>HAN QUOC</t>
        </is>
      </c>
      <c r="E564" s="661" t="inlineStr">
        <is>
          <t>BAGE</t>
        </is>
      </c>
      <c r="F564" s="661" t="inlineStr">
        <is>
          <t>BUBBLE BAG 650X250MM</t>
        </is>
      </c>
      <c r="G564" s="662" t="inlineStr">
        <is>
          <t>D</t>
        </is>
      </c>
      <c r="L564" s="663" t="e">
        <v>#REF!</v>
      </c>
    </row>
    <row r="565">
      <c r="B565" s="659" t="n">
        <v>400589</v>
      </c>
      <c r="C565" s="661" t="inlineStr">
        <is>
          <t>2065A</t>
        </is>
      </c>
      <c r="D565" s="661" t="inlineStr">
        <is>
          <t>HAN QUOC</t>
        </is>
      </c>
      <c r="E565" s="661" t="inlineStr">
        <is>
          <t>BAGE</t>
        </is>
      </c>
      <c r="F565" s="661" t="inlineStr">
        <is>
          <t>BUBBLE BAG 1300X150MM</t>
        </is>
      </c>
      <c r="G565" s="662" t="inlineStr">
        <is>
          <t>D</t>
        </is>
      </c>
      <c r="L565" s="663" t="e">
        <v>#REF!</v>
      </c>
    </row>
    <row r="566">
      <c r="B566" s="659" t="n">
        <v>400667</v>
      </c>
      <c r="C566" s="661" t="inlineStr">
        <is>
          <t>2036A</t>
        </is>
      </c>
      <c r="D566" s="661" t="inlineStr">
        <is>
          <t>TIEN THANH</t>
        </is>
      </c>
      <c r="E566" s="661" t="inlineStr">
        <is>
          <t>BAGE</t>
        </is>
      </c>
      <c r="F566" s="661" t="inlineStr">
        <is>
          <t>PE BAG 550X350MM</t>
        </is>
      </c>
      <c r="G566" s="662" t="inlineStr">
        <is>
          <t>D</t>
        </is>
      </c>
      <c r="L566" s="663" t="e">
        <v>#REF!</v>
      </c>
    </row>
    <row r="567">
      <c r="B567" s="659" t="n">
        <v>400722</v>
      </c>
      <c r="C567" s="661" t="inlineStr">
        <is>
          <t>2065A</t>
        </is>
      </c>
      <c r="D567" s="661" t="inlineStr">
        <is>
          <t>HAN QUOC</t>
        </is>
      </c>
      <c r="E567" s="661" t="inlineStr">
        <is>
          <t>BAGE</t>
        </is>
      </c>
      <c r="F567" s="661" t="inlineStr">
        <is>
          <t>BUBBLE BAG 2000X200MM</t>
        </is>
      </c>
      <c r="G567" s="662" t="inlineStr">
        <is>
          <t>D</t>
        </is>
      </c>
      <c r="L567" s="663" t="e">
        <v>#REF!</v>
      </c>
    </row>
    <row r="568">
      <c r="B568" s="659" t="n">
        <v>400726</v>
      </c>
      <c r="C568" s="661" t="inlineStr">
        <is>
          <t>2065A</t>
        </is>
      </c>
      <c r="D568" s="661" t="inlineStr">
        <is>
          <t>HAN QUOC</t>
        </is>
      </c>
      <c r="E568" s="661" t="inlineStr">
        <is>
          <t>BAGE</t>
        </is>
      </c>
      <c r="F568" s="661" t="inlineStr">
        <is>
          <t>BUBBLE BAG 350X200MM</t>
        </is>
      </c>
      <c r="G568" s="662" t="inlineStr">
        <is>
          <t>D</t>
        </is>
      </c>
      <c r="L568" s="663" t="e">
        <v>#REF!</v>
      </c>
    </row>
    <row r="569">
      <c r="B569" s="659" t="n">
        <v>400727</v>
      </c>
      <c r="C569" s="661" t="inlineStr">
        <is>
          <t>2065A</t>
        </is>
      </c>
      <c r="D569" s="661" t="inlineStr">
        <is>
          <t>HAN QUOC</t>
        </is>
      </c>
      <c r="E569" s="661" t="inlineStr">
        <is>
          <t>BAGE</t>
        </is>
      </c>
      <c r="F569" s="661" t="inlineStr">
        <is>
          <t>BUBBLE BAG 180X250MM</t>
        </is>
      </c>
      <c r="G569" s="662" t="inlineStr">
        <is>
          <t>D</t>
        </is>
      </c>
      <c r="L569" s="663" t="e">
        <v>#REF!</v>
      </c>
    </row>
    <row r="570">
      <c r="B570" s="659" t="n">
        <v>400734</v>
      </c>
      <c r="C570" s="661" t="inlineStr">
        <is>
          <t>2065A</t>
        </is>
      </c>
      <c r="D570" s="661" t="inlineStr">
        <is>
          <t>HAN QUOC</t>
        </is>
      </c>
      <c r="E570" s="661" t="inlineStr">
        <is>
          <t>BAGE</t>
        </is>
      </c>
      <c r="F570" s="661" t="inlineStr">
        <is>
          <t>BUBBLE BAG 850X230MM</t>
        </is>
      </c>
      <c r="G570" s="662" t="inlineStr">
        <is>
          <t>D</t>
        </is>
      </c>
      <c r="L570" s="663" t="e">
        <v>#REF!</v>
      </c>
    </row>
    <row r="571">
      <c r="B571" s="659" t="n">
        <v>400735</v>
      </c>
      <c r="C571" s="661" t="inlineStr">
        <is>
          <t>2065A</t>
        </is>
      </c>
      <c r="D571" s="661" t="inlineStr">
        <is>
          <t>HAN QUOC</t>
        </is>
      </c>
      <c r="E571" s="661" t="inlineStr">
        <is>
          <t>BAGE</t>
        </is>
      </c>
      <c r="F571" s="661" t="inlineStr">
        <is>
          <t>BUBBLE BAG 2600X250MM</t>
        </is>
      </c>
      <c r="G571" s="662" t="inlineStr">
        <is>
          <t>D</t>
        </is>
      </c>
      <c r="L571" s="663" t="e">
        <v>#REF!</v>
      </c>
    </row>
    <row r="572">
      <c r="B572" s="659" t="n">
        <v>400748</v>
      </c>
      <c r="C572" s="661" t="inlineStr">
        <is>
          <t>2065A</t>
        </is>
      </c>
      <c r="D572" s="661" t="inlineStr">
        <is>
          <t>HAN QUOC</t>
        </is>
      </c>
      <c r="E572" s="661" t="inlineStr">
        <is>
          <t>BAGE</t>
        </is>
      </c>
      <c r="F572" s="661" t="inlineStr">
        <is>
          <t>BUBBLE BAG D150MM W250MM</t>
        </is>
      </c>
      <c r="G572" s="662" t="inlineStr">
        <is>
          <t>D</t>
        </is>
      </c>
      <c r="L572" s="663" t="e">
        <v>#REF!</v>
      </c>
    </row>
    <row r="573">
      <c r="B573" s="659" t="n">
        <v>400809</v>
      </c>
      <c r="C573" s="661" t="inlineStr">
        <is>
          <t>2065A</t>
        </is>
      </c>
      <c r="D573" s="661" t="inlineStr">
        <is>
          <t>HAN QUOC</t>
        </is>
      </c>
      <c r="E573" s="661" t="inlineStr">
        <is>
          <t>BAGE</t>
        </is>
      </c>
      <c r="F573" s="661" t="inlineStr">
        <is>
          <t>BUBBLE BAG 650X150MM</t>
        </is>
      </c>
      <c r="G573" s="662" t="inlineStr">
        <is>
          <t>D</t>
        </is>
      </c>
      <c r="L573" s="663" t="e">
        <v>#REF!</v>
      </c>
    </row>
    <row r="574">
      <c r="B574" s="659" t="n">
        <v>400971</v>
      </c>
      <c r="C574" s="661" t="inlineStr">
        <is>
          <t>2065A</t>
        </is>
      </c>
      <c r="D574" s="661" t="inlineStr">
        <is>
          <t>HAN QUOC</t>
        </is>
      </c>
      <c r="E574" s="661" t="inlineStr">
        <is>
          <t>BAGE</t>
        </is>
      </c>
      <c r="F574" s="661" t="inlineStr">
        <is>
          <t>BUBBLE BAG 850X100MM</t>
        </is>
      </c>
      <c r="G574" s="662" t="inlineStr">
        <is>
          <t>D</t>
        </is>
      </c>
      <c r="L574" s="663" t="e">
        <v>#REF!</v>
      </c>
    </row>
    <row r="575">
      <c r="B575" s="659" t="n">
        <v>400972</v>
      </c>
      <c r="C575" s="661" t="inlineStr">
        <is>
          <t>2065A</t>
        </is>
      </c>
      <c r="D575" s="661" t="inlineStr">
        <is>
          <t>HAN QUOC</t>
        </is>
      </c>
      <c r="E575" s="661" t="inlineStr">
        <is>
          <t>BAGE</t>
        </is>
      </c>
      <c r="F575" s="661" t="inlineStr">
        <is>
          <t>BUBBLE BAG 1800X150MM</t>
        </is>
      </c>
      <c r="G575" s="662" t="inlineStr">
        <is>
          <t>D</t>
        </is>
      </c>
      <c r="L575" s="663" t="e">
        <v>#REF!</v>
      </c>
    </row>
    <row r="576">
      <c r="B576" s="659" t="n">
        <v>400973</v>
      </c>
      <c r="C576" s="661" t="inlineStr">
        <is>
          <t>2065A</t>
        </is>
      </c>
      <c r="D576" s="661" t="inlineStr">
        <is>
          <t>HAN QUOC</t>
        </is>
      </c>
      <c r="E576" s="661" t="inlineStr">
        <is>
          <t>BAGE</t>
        </is>
      </c>
      <c r="F576" s="661" t="inlineStr">
        <is>
          <t>BUBBLE BAG 1200X150MM</t>
        </is>
      </c>
      <c r="G576" s="662" t="inlineStr">
        <is>
          <t>D</t>
        </is>
      </c>
      <c r="L576" s="663" t="e">
        <v>#REF!</v>
      </c>
    </row>
    <row r="577">
      <c r="B577" s="659" t="n">
        <v>401014</v>
      </c>
      <c r="C577" s="661" t="inlineStr">
        <is>
          <t>2065A</t>
        </is>
      </c>
      <c r="D577" s="661" t="inlineStr">
        <is>
          <t>HAN QUOC</t>
        </is>
      </c>
      <c r="E577" s="661" t="inlineStr">
        <is>
          <t>BAGE</t>
        </is>
      </c>
      <c r="F577" s="661" t="inlineStr">
        <is>
          <t>BUBBLE BAG 850X200MM</t>
        </is>
      </c>
      <c r="G577" s="662" t="inlineStr">
        <is>
          <t>D</t>
        </is>
      </c>
      <c r="L577" s="663" t="e">
        <v>#REF!</v>
      </c>
    </row>
    <row r="578">
      <c r="B578" s="659" t="n">
        <v>401022</v>
      </c>
      <c r="C578" s="661" t="inlineStr">
        <is>
          <t>2047A</t>
        </is>
      </c>
      <c r="D578" s="661" t="inlineStr">
        <is>
          <t>NHU QUYNH</t>
        </is>
      </c>
      <c r="E578" s="661" t="inlineStr">
        <is>
          <t>RCT</t>
        </is>
      </c>
      <c r="F578" s="661" t="inlineStr">
        <is>
          <t>RSC-PN-650X410X295MM</t>
        </is>
      </c>
      <c r="G578" s="662" t="inlineStr">
        <is>
          <t>D</t>
        </is>
      </c>
      <c r="L578" s="663" t="e">
        <v>#REF!</v>
      </c>
    </row>
    <row r="579">
      <c r="B579" s="659" t="n">
        <v>401023</v>
      </c>
      <c r="C579" s="661" t="inlineStr">
        <is>
          <t>2047A</t>
        </is>
      </c>
      <c r="D579" s="661" t="inlineStr">
        <is>
          <t>NHU QUYNH</t>
        </is>
      </c>
      <c r="E579" s="661" t="inlineStr">
        <is>
          <t>RCT</t>
        </is>
      </c>
      <c r="F579" s="661" t="inlineStr">
        <is>
          <t>TELE-PN-1210X595X190MM</t>
        </is>
      </c>
      <c r="G579" s="662" t="inlineStr">
        <is>
          <t>D</t>
        </is>
      </c>
      <c r="L579" s="663" t="e">
        <v>#REF!</v>
      </c>
    </row>
    <row r="580">
      <c r="B580" s="659" t="n">
        <v>401024</v>
      </c>
      <c r="C580" s="661" t="inlineStr">
        <is>
          <t>2047A</t>
        </is>
      </c>
      <c r="D580" s="661" t="inlineStr">
        <is>
          <t>NHU QUYNH</t>
        </is>
      </c>
      <c r="E580" s="661" t="inlineStr">
        <is>
          <t>RCT</t>
        </is>
      </c>
      <c r="F580" s="661" t="inlineStr">
        <is>
          <t>RSC-PN-525X340X240MM</t>
        </is>
      </c>
      <c r="G580" s="662" t="inlineStr">
        <is>
          <t>D</t>
        </is>
      </c>
      <c r="L580" s="663" t="e">
        <v>#REF!</v>
      </c>
    </row>
    <row r="581">
      <c r="B581" s="659" t="n">
        <v>401025</v>
      </c>
      <c r="C581" s="661" t="inlineStr">
        <is>
          <t>2047A</t>
        </is>
      </c>
      <c r="D581" s="661" t="inlineStr">
        <is>
          <t>NHU QUYNH</t>
        </is>
      </c>
      <c r="E581" s="661" t="inlineStr">
        <is>
          <t>RCT</t>
        </is>
      </c>
      <c r="F581" s="661" t="inlineStr">
        <is>
          <t>RSC-PN-1280X260X190MM</t>
        </is>
      </c>
      <c r="G581" s="662" t="inlineStr">
        <is>
          <t>D</t>
        </is>
      </c>
      <c r="L581" s="663" t="e">
        <v>#REF!</v>
      </c>
    </row>
    <row r="582">
      <c r="B582" s="659" t="n">
        <v>401026</v>
      </c>
      <c r="C582" s="661" t="inlineStr">
        <is>
          <t>2047A</t>
        </is>
      </c>
      <c r="D582" s="661" t="inlineStr">
        <is>
          <t>NHU QUYNH</t>
        </is>
      </c>
      <c r="E582" s="661" t="inlineStr">
        <is>
          <t>RCT</t>
        </is>
      </c>
      <c r="F582" s="661" t="inlineStr">
        <is>
          <t>RSC-PN-890X435X215MM</t>
        </is>
      </c>
      <c r="G582" s="662" t="inlineStr">
        <is>
          <t>D</t>
        </is>
      </c>
      <c r="L582" s="663" t="e">
        <v>#REF!</v>
      </c>
    </row>
    <row r="583">
      <c r="B583" s="659" t="n">
        <v>401027</v>
      </c>
      <c r="C583" s="661" t="inlineStr">
        <is>
          <t>2047A</t>
        </is>
      </c>
      <c r="D583" s="661" t="inlineStr">
        <is>
          <t>NHU QUYNH</t>
        </is>
      </c>
      <c r="E583" s="661" t="inlineStr">
        <is>
          <t>RCT</t>
        </is>
      </c>
      <c r="F583" s="661" t="inlineStr">
        <is>
          <t>RSC-PN-780X435X215MM</t>
        </is>
      </c>
      <c r="G583" s="662" t="inlineStr">
        <is>
          <t>D</t>
        </is>
      </c>
      <c r="L583" s="663" t="e">
        <v>#REF!</v>
      </c>
    </row>
    <row r="584">
      <c r="B584" s="659" t="n">
        <v>401028</v>
      </c>
      <c r="C584" s="661" t="inlineStr">
        <is>
          <t>2047A</t>
        </is>
      </c>
      <c r="D584" s="661" t="inlineStr">
        <is>
          <t>NHU QUYNH</t>
        </is>
      </c>
      <c r="E584" s="661" t="inlineStr">
        <is>
          <t>RCT</t>
        </is>
      </c>
      <c r="F584" s="661" t="inlineStr">
        <is>
          <t>RSC-PN-990X440X220MM</t>
        </is>
      </c>
      <c r="G584" s="662" t="inlineStr">
        <is>
          <t>D</t>
        </is>
      </c>
      <c r="L584" s="663" t="e">
        <v>#REF!</v>
      </c>
    </row>
    <row r="585">
      <c r="B585" s="659" t="n">
        <v>401030</v>
      </c>
      <c r="C585" s="661" t="inlineStr">
        <is>
          <t>2047A</t>
        </is>
      </c>
      <c r="D585" s="661" t="inlineStr">
        <is>
          <t>NHU QUYNH</t>
        </is>
      </c>
      <c r="E585" s="661" t="inlineStr">
        <is>
          <t>RCT</t>
        </is>
      </c>
      <c r="F585" s="661" t="inlineStr">
        <is>
          <t>RSC-PN-1620X310X160MM</t>
        </is>
      </c>
      <c r="G585" s="662" t="inlineStr">
        <is>
          <t>D</t>
        </is>
      </c>
      <c r="L585" s="663" t="e">
        <v>#REF!</v>
      </c>
    </row>
    <row r="586">
      <c r="B586" s="659" t="n">
        <v>401031</v>
      </c>
      <c r="C586" s="661" t="inlineStr">
        <is>
          <t>2047A</t>
        </is>
      </c>
      <c r="D586" s="661" t="inlineStr">
        <is>
          <t>NHU QUYNH</t>
        </is>
      </c>
      <c r="E586" s="661" t="inlineStr">
        <is>
          <t>RCT</t>
        </is>
      </c>
      <c r="F586" s="661" t="inlineStr">
        <is>
          <t>RSC-PN-1920X310X160MM</t>
        </is>
      </c>
      <c r="G586" s="662" t="inlineStr">
        <is>
          <t>D</t>
        </is>
      </c>
      <c r="L586" s="663" t="e">
        <v>#REF!</v>
      </c>
    </row>
    <row r="587">
      <c r="B587" s="659" t="n">
        <v>401041</v>
      </c>
      <c r="C587" s="661" t="inlineStr">
        <is>
          <t>2063A</t>
        </is>
      </c>
      <c r="D587" s="661" t="inlineStr">
        <is>
          <t>YFY</t>
        </is>
      </c>
      <c r="E587" s="661" t="inlineStr">
        <is>
          <t>PKLN</t>
        </is>
      </c>
      <c r="F587" s="661" t="inlineStr">
        <is>
          <t>1 WALL CORRU B 1265X250MM</t>
        </is>
      </c>
      <c r="G587" s="662" t="inlineStr">
        <is>
          <t>D</t>
        </is>
      </c>
      <c r="L587" s="663" t="e">
        <v>#REF!</v>
      </c>
    </row>
    <row r="588">
      <c r="B588" s="659" t="n">
        <v>401042</v>
      </c>
      <c r="C588" s="661" t="inlineStr">
        <is>
          <t>2063A</t>
        </is>
      </c>
      <c r="D588" s="661" t="inlineStr">
        <is>
          <t>YFY</t>
        </is>
      </c>
      <c r="E588" s="661" t="inlineStr">
        <is>
          <t>PKLN</t>
        </is>
      </c>
      <c r="F588" s="661" t="inlineStr">
        <is>
          <t>U 1 WALL CORRU B 1505X160MM</t>
        </is>
      </c>
      <c r="G588" s="662" t="inlineStr">
        <is>
          <t>D</t>
        </is>
      </c>
      <c r="L588" s="663" t="e">
        <v>#REF!</v>
      </c>
    </row>
    <row r="589">
      <c r="B589" s="659" t="n">
        <v>401050</v>
      </c>
      <c r="C589" s="661" t="inlineStr">
        <is>
          <t>2063A</t>
        </is>
      </c>
      <c r="D589" s="661" t="inlineStr">
        <is>
          <t>YFY</t>
        </is>
      </c>
      <c r="E589" s="661" t="inlineStr">
        <is>
          <t>PKLN</t>
        </is>
      </c>
      <c r="F589" s="661" t="inlineStr">
        <is>
          <t>1 WALL CORRU B 975X430MM</t>
        </is>
      </c>
      <c r="G589" s="662" t="inlineStr">
        <is>
          <t>D</t>
        </is>
      </c>
      <c r="L589" s="663" t="e">
        <v>#REF!</v>
      </c>
    </row>
    <row r="590">
      <c r="B590" s="659" t="n">
        <v>401051</v>
      </c>
      <c r="C590" s="661" t="inlineStr">
        <is>
          <t>2063A</t>
        </is>
      </c>
      <c r="D590" s="661" t="inlineStr">
        <is>
          <t>YFY</t>
        </is>
      </c>
      <c r="E590" s="661" t="inlineStr">
        <is>
          <t>PKLN</t>
        </is>
      </c>
      <c r="F590" s="661" t="inlineStr">
        <is>
          <t>U 1 WALL CORRU B 1395X190MM</t>
        </is>
      </c>
      <c r="G590" s="662" t="inlineStr">
        <is>
          <t>D</t>
        </is>
      </c>
      <c r="L590" s="663" t="e">
        <v>#REF!</v>
      </c>
    </row>
    <row r="591">
      <c r="B591" s="659" t="n">
        <v>401056</v>
      </c>
      <c r="C591" s="661" t="inlineStr">
        <is>
          <t>2063A</t>
        </is>
      </c>
      <c r="D591" s="661" t="inlineStr">
        <is>
          <t>YFY</t>
        </is>
      </c>
      <c r="E591" s="661" t="inlineStr">
        <is>
          <t>PKLN</t>
        </is>
      </c>
      <c r="F591" s="661" t="inlineStr">
        <is>
          <t>1 WALL CORRU B 1605X300MM</t>
        </is>
      </c>
      <c r="G591" s="662" t="inlineStr">
        <is>
          <t>D</t>
        </is>
      </c>
      <c r="L591" s="663" t="e">
        <v>#REF!</v>
      </c>
    </row>
    <row r="592">
      <c r="B592" s="659" t="n">
        <v>401057</v>
      </c>
      <c r="C592" s="661" t="inlineStr">
        <is>
          <t>2063A</t>
        </is>
      </c>
      <c r="D592" s="661" t="inlineStr">
        <is>
          <t>YFY</t>
        </is>
      </c>
      <c r="E592" s="661" t="inlineStr">
        <is>
          <t>PKLN</t>
        </is>
      </c>
      <c r="F592" s="661" t="inlineStr">
        <is>
          <t>U 1 WALL CORRU B 1895X130MM</t>
        </is>
      </c>
      <c r="G592" s="662" t="inlineStr">
        <is>
          <t>D</t>
        </is>
      </c>
      <c r="L592" s="663" t="e">
        <v>#REF!</v>
      </c>
    </row>
    <row r="593">
      <c r="B593" s="659" t="n">
        <v>401059</v>
      </c>
      <c r="C593" s="661" t="inlineStr">
        <is>
          <t>2063A</t>
        </is>
      </c>
      <c r="D593" s="661" t="inlineStr">
        <is>
          <t>YFY</t>
        </is>
      </c>
      <c r="E593" s="661" t="inlineStr">
        <is>
          <t>PKLN</t>
        </is>
      </c>
      <c r="F593" s="661" t="inlineStr">
        <is>
          <t>1 WALL CORRU B 1905X300MM</t>
        </is>
      </c>
      <c r="G593" s="662" t="inlineStr">
        <is>
          <t>D</t>
        </is>
      </c>
      <c r="L593" s="663" t="e">
        <v>#REF!</v>
      </c>
    </row>
    <row r="594">
      <c r="B594" s="659" t="n">
        <v>401060</v>
      </c>
      <c r="C594" s="661" t="inlineStr">
        <is>
          <t>2063A</t>
        </is>
      </c>
      <c r="D594" s="661" t="inlineStr">
        <is>
          <t>YFY</t>
        </is>
      </c>
      <c r="E594" s="661" t="inlineStr">
        <is>
          <t>PKLN</t>
        </is>
      </c>
      <c r="F594" s="661" t="inlineStr">
        <is>
          <t>U 1 WALL CORRU B 2195X130MM</t>
        </is>
      </c>
      <c r="G594" s="662" t="inlineStr">
        <is>
          <t>D</t>
        </is>
      </c>
      <c r="L594" s="663" t="e">
        <v>#REF!</v>
      </c>
    </row>
    <row r="595">
      <c r="B595" s="659" t="n">
        <v>401064</v>
      </c>
      <c r="C595" s="661" t="inlineStr">
        <is>
          <t>2047A</t>
        </is>
      </c>
      <c r="D595" s="661" t="inlineStr">
        <is>
          <t>NHU QUYNH</t>
        </is>
      </c>
      <c r="E595" s="661" t="inlineStr">
        <is>
          <t>RCT</t>
        </is>
      </c>
      <c r="F595" s="661" t="inlineStr">
        <is>
          <t>TELE-PN-1520X450X150MM</t>
        </is>
      </c>
      <c r="G595" s="662" t="inlineStr">
        <is>
          <t>D</t>
        </is>
      </c>
      <c r="L595" s="663" t="e">
        <v>#REF!</v>
      </c>
    </row>
    <row r="596">
      <c r="B596" s="659" t="n">
        <v>401065</v>
      </c>
      <c r="C596" s="661" t="inlineStr">
        <is>
          <t>2047A</t>
        </is>
      </c>
      <c r="D596" s="661" t="inlineStr">
        <is>
          <t>NHU QUYNH</t>
        </is>
      </c>
      <c r="E596" s="661" t="inlineStr">
        <is>
          <t>RCT</t>
        </is>
      </c>
      <c r="F596" s="661" t="inlineStr">
        <is>
          <t>TELE-PN-1220X450X150MM</t>
        </is>
      </c>
      <c r="G596" s="662" t="inlineStr">
        <is>
          <t>D</t>
        </is>
      </c>
      <c r="L596" s="663" t="e">
        <v>#REF!</v>
      </c>
    </row>
    <row r="597">
      <c r="B597" s="659" t="n">
        <v>401073</v>
      </c>
      <c r="C597" s="661" t="inlineStr">
        <is>
          <t>2065A</t>
        </is>
      </c>
      <c r="D597" s="661" t="inlineStr">
        <is>
          <t>HAN QUOC</t>
        </is>
      </c>
      <c r="E597" s="661" t="inlineStr">
        <is>
          <t>BAGE</t>
        </is>
      </c>
      <c r="F597" s="661" t="inlineStr">
        <is>
          <t>BUBBLE BAG 600X150MM</t>
        </is>
      </c>
      <c r="G597" s="662" t="inlineStr">
        <is>
          <t>D</t>
        </is>
      </c>
      <c r="L597" s="663" t="e">
        <v>#REF!</v>
      </c>
    </row>
    <row r="598">
      <c r="B598" s="659" t="n">
        <v>401074</v>
      </c>
      <c r="C598" s="661" t="inlineStr">
        <is>
          <t>2065A</t>
        </is>
      </c>
      <c r="D598" s="661" t="inlineStr">
        <is>
          <t>HAN QUOC</t>
        </is>
      </c>
      <c r="E598" s="661" t="inlineStr">
        <is>
          <t>BAGE</t>
        </is>
      </c>
      <c r="F598" s="661" t="inlineStr">
        <is>
          <t>BUBBLE BAG 410X110MM</t>
        </is>
      </c>
      <c r="G598" s="662" t="inlineStr">
        <is>
          <t>D</t>
        </is>
      </c>
      <c r="L598" s="663" t="e">
        <v>#REF!</v>
      </c>
    </row>
    <row r="599">
      <c r="B599" s="659" t="n">
        <v>401075</v>
      </c>
      <c r="C599" s="661" t="inlineStr">
        <is>
          <t>2065A</t>
        </is>
      </c>
      <c r="D599" s="661" t="inlineStr">
        <is>
          <t>HAN QUOC</t>
        </is>
      </c>
      <c r="E599" s="661" t="inlineStr">
        <is>
          <t>BAGE</t>
        </is>
      </c>
      <c r="F599" s="661" t="inlineStr">
        <is>
          <t>BUBBLE BAG 1000X150MM</t>
        </is>
      </c>
      <c r="G599" s="662" t="inlineStr">
        <is>
          <t>D</t>
        </is>
      </c>
      <c r="L599" s="663" t="e">
        <v>#REF!</v>
      </c>
    </row>
    <row r="600">
      <c r="B600" s="659" t="n">
        <v>401076</v>
      </c>
      <c r="C600" s="661" t="inlineStr">
        <is>
          <t>2065A</t>
        </is>
      </c>
      <c r="D600" s="661" t="inlineStr">
        <is>
          <t>HAN QUOC</t>
        </is>
      </c>
      <c r="E600" s="661" t="inlineStr">
        <is>
          <t>BAGE</t>
        </is>
      </c>
      <c r="F600" s="661" t="inlineStr">
        <is>
          <t>BUBBLE BAG 800X150MM</t>
        </is>
      </c>
      <c r="G600" s="662" t="inlineStr">
        <is>
          <t>D</t>
        </is>
      </c>
      <c r="L600" s="663" t="e">
        <v>#REF!</v>
      </c>
    </row>
    <row r="601">
      <c r="B601" s="659" t="n">
        <v>401077</v>
      </c>
      <c r="C601" s="661" t="inlineStr">
        <is>
          <t>2065A</t>
        </is>
      </c>
      <c r="D601" s="661" t="inlineStr">
        <is>
          <t>HAN QUOC</t>
        </is>
      </c>
      <c r="E601" s="661" t="inlineStr">
        <is>
          <t>BAGE</t>
        </is>
      </c>
      <c r="F601" s="661" t="inlineStr">
        <is>
          <t>BUBBLE BAG 1050X150MM</t>
        </is>
      </c>
      <c r="G601" s="662" t="inlineStr">
        <is>
          <t>D</t>
        </is>
      </c>
      <c r="L601" s="663" t="e">
        <v>#REF!</v>
      </c>
    </row>
    <row r="602">
      <c r="B602" s="659" t="n">
        <v>401079</v>
      </c>
      <c r="C602" s="661" t="inlineStr">
        <is>
          <t>2065A</t>
        </is>
      </c>
      <c r="D602" s="661" t="inlineStr">
        <is>
          <t>HAN QUOC</t>
        </is>
      </c>
      <c r="E602" s="661" t="inlineStr">
        <is>
          <t>BAGE</t>
        </is>
      </c>
      <c r="F602" s="661" t="inlineStr">
        <is>
          <t>BUBBLE BAG 1650X150MM</t>
        </is>
      </c>
      <c r="G602" s="662" t="inlineStr">
        <is>
          <t>D</t>
        </is>
      </c>
      <c r="L602" s="663" t="e">
        <v>#REF!</v>
      </c>
    </row>
    <row r="603">
      <c r="B603" s="659" t="n">
        <v>401080</v>
      </c>
      <c r="C603" s="661" t="inlineStr">
        <is>
          <t>2065A</t>
        </is>
      </c>
      <c r="D603" s="661" t="inlineStr">
        <is>
          <t>HAN QUOC</t>
        </is>
      </c>
      <c r="E603" s="661" t="inlineStr">
        <is>
          <t>BAGE</t>
        </is>
      </c>
      <c r="F603" s="661" t="inlineStr">
        <is>
          <t>BUBBLE BAG 2000X150MM</t>
        </is>
      </c>
      <c r="G603" s="662" t="inlineStr">
        <is>
          <t>D</t>
        </is>
      </c>
      <c r="L603" s="663" t="e">
        <v>#REF!</v>
      </c>
    </row>
    <row r="604">
      <c r="B604" s="659" t="n">
        <v>401081</v>
      </c>
      <c r="C604" s="661" t="inlineStr">
        <is>
          <t>2065A</t>
        </is>
      </c>
      <c r="D604" s="661" t="inlineStr">
        <is>
          <t>HAN QUOC</t>
        </is>
      </c>
      <c r="E604" s="661" t="inlineStr">
        <is>
          <t>BAGE</t>
        </is>
      </c>
      <c r="F604" s="661" t="inlineStr">
        <is>
          <t>BUBBLE BAG 1550X150MM</t>
        </is>
      </c>
      <c r="G604" s="662" t="inlineStr">
        <is>
          <t>D</t>
        </is>
      </c>
      <c r="L604" s="663" t="e">
        <v>#REF!</v>
      </c>
    </row>
    <row r="605">
      <c r="B605" s="659" t="n">
        <v>401125</v>
      </c>
      <c r="C605" s="661" t="inlineStr">
        <is>
          <t>2065A</t>
        </is>
      </c>
      <c r="D605" s="661" t="inlineStr">
        <is>
          <t>HAN QUOC</t>
        </is>
      </c>
      <c r="E605" s="661" t="inlineStr">
        <is>
          <t>BAGE</t>
        </is>
      </c>
      <c r="F605" s="661" t="inlineStr">
        <is>
          <t>BUBBLE BAG 400X200MM</t>
        </is>
      </c>
      <c r="G605" s="662" t="inlineStr">
        <is>
          <t>D</t>
        </is>
      </c>
      <c r="L605" s="663" t="e">
        <v>#REF!</v>
      </c>
    </row>
    <row r="606">
      <c r="B606" s="659" t="n">
        <v>401126</v>
      </c>
      <c r="C606" s="661" t="inlineStr">
        <is>
          <t>2065A</t>
        </is>
      </c>
      <c r="D606" s="661" t="inlineStr">
        <is>
          <t>HAN QUOC</t>
        </is>
      </c>
      <c r="E606" s="661" t="inlineStr">
        <is>
          <t>BAGE</t>
        </is>
      </c>
      <c r="F606" s="661" t="inlineStr">
        <is>
          <t>BUBBLE BAG 500X200MM</t>
        </is>
      </c>
      <c r="G606" s="662" t="inlineStr">
        <is>
          <t>D</t>
        </is>
      </c>
      <c r="L606" s="663" t="e">
        <v>#REF!</v>
      </c>
    </row>
    <row r="607">
      <c r="B607" s="659" t="n">
        <v>401137</v>
      </c>
      <c r="C607" s="661" t="inlineStr">
        <is>
          <t>2065A</t>
        </is>
      </c>
      <c r="D607" s="661" t="inlineStr">
        <is>
          <t>HAN QUOC</t>
        </is>
      </c>
      <c r="E607" s="661" t="inlineStr">
        <is>
          <t>BAGE</t>
        </is>
      </c>
      <c r="F607" s="661" t="inlineStr">
        <is>
          <t>BUBBLE BAG 150X150MM-1</t>
        </is>
      </c>
      <c r="G607" s="662" t="inlineStr">
        <is>
          <t>D</t>
        </is>
      </c>
      <c r="L607" s="663" t="e">
        <v>#REF!</v>
      </c>
    </row>
    <row r="608">
      <c r="B608" s="659" t="n">
        <v>401142</v>
      </c>
      <c r="C608" s="661" t="inlineStr">
        <is>
          <t>2065A</t>
        </is>
      </c>
      <c r="D608" s="661" t="inlineStr">
        <is>
          <t>HAN QUOC</t>
        </is>
      </c>
      <c r="E608" s="661" t="inlineStr">
        <is>
          <t>BAGE</t>
        </is>
      </c>
      <c r="F608" s="661" t="inlineStr">
        <is>
          <t>BUBBLE BAG 2150X200MM</t>
        </is>
      </c>
      <c r="G608" s="662" t="inlineStr">
        <is>
          <t>D</t>
        </is>
      </c>
      <c r="L608" s="663" t="e">
        <v>#REF!</v>
      </c>
    </row>
    <row r="609">
      <c r="B609" s="659" t="n">
        <v>401146</v>
      </c>
      <c r="C609" s="661" t="inlineStr">
        <is>
          <t>2065A</t>
        </is>
      </c>
      <c r="D609" s="661" t="inlineStr">
        <is>
          <t>HAN QUOC</t>
        </is>
      </c>
      <c r="E609" s="661" t="inlineStr">
        <is>
          <t>BAGE</t>
        </is>
      </c>
      <c r="F609" s="661" t="inlineStr">
        <is>
          <t>BUBBLE BAG 500X150MM</t>
        </is>
      </c>
      <c r="G609" s="662" t="inlineStr">
        <is>
          <t>D</t>
        </is>
      </c>
      <c r="L609" s="663" t="e">
        <v>#REF!</v>
      </c>
    </row>
    <row r="610">
      <c r="B610" s="659" t="n">
        <v>401147</v>
      </c>
      <c r="C610" s="661" t="inlineStr">
        <is>
          <t>2047A</t>
        </is>
      </c>
      <c r="D610" s="661" t="inlineStr">
        <is>
          <t>NHU QUYNH</t>
        </is>
      </c>
      <c r="E610" s="661" t="inlineStr">
        <is>
          <t>RCT</t>
        </is>
      </c>
      <c r="F610" s="661" t="inlineStr">
        <is>
          <t>RSC-PN-485X435X335MM</t>
        </is>
      </c>
      <c r="G610" s="662" t="inlineStr">
        <is>
          <t>D</t>
        </is>
      </c>
      <c r="L610" s="663" t="e">
        <v>#REF!</v>
      </c>
    </row>
    <row r="611">
      <c r="B611" s="659" t="n">
        <v>401180</v>
      </c>
      <c r="C611" s="661" t="inlineStr">
        <is>
          <t>2065A</t>
        </is>
      </c>
      <c r="D611" s="661" t="inlineStr">
        <is>
          <t>HAN QUOC</t>
        </is>
      </c>
      <c r="E611" s="661" t="inlineStr">
        <is>
          <t>BAGE</t>
        </is>
      </c>
      <c r="F611" s="661" t="inlineStr">
        <is>
          <t>BUBBLE BAG 750X200MM</t>
        </is>
      </c>
      <c r="G611" s="662" t="inlineStr">
        <is>
          <t>D</t>
        </is>
      </c>
      <c r="L611" s="663" t="e">
        <v>#REF!</v>
      </c>
    </row>
    <row r="612">
      <c r="B612" s="659" t="n">
        <v>401182</v>
      </c>
      <c r="C612" s="661" t="inlineStr">
        <is>
          <t>2036A</t>
        </is>
      </c>
      <c r="D612" s="661" t="inlineStr">
        <is>
          <t>TIEN THANH</t>
        </is>
      </c>
      <c r="E612" s="661" t="inlineStr">
        <is>
          <t>BAGE</t>
        </is>
      </c>
      <c r="F612" s="661" t="inlineStr">
        <is>
          <t>PE BAG 350X350MM</t>
        </is>
      </c>
      <c r="G612" s="662" t="inlineStr">
        <is>
          <t>D</t>
        </is>
      </c>
      <c r="L612" s="663" t="e">
        <v>#REF!</v>
      </c>
    </row>
    <row r="613">
      <c r="B613" s="659" t="n">
        <v>401593</v>
      </c>
      <c r="C613" s="661" t="inlineStr">
        <is>
          <t>2065A</t>
        </is>
      </c>
      <c r="D613" s="661" t="inlineStr">
        <is>
          <t>HAN QUOC</t>
        </is>
      </c>
      <c r="E613" s="661" t="inlineStr">
        <is>
          <t>BAGE</t>
        </is>
      </c>
      <c r="F613" s="661" t="inlineStr">
        <is>
          <t>BUBBLE BAG 600X100MM</t>
        </is>
      </c>
      <c r="G613" s="662" t="inlineStr">
        <is>
          <t>D</t>
        </is>
      </c>
      <c r="L613" s="663" t="e">
        <v>#REF!</v>
      </c>
    </row>
    <row r="614">
      <c r="B614" s="659" t="n">
        <v>401674</v>
      </c>
      <c r="C614" s="661" t="inlineStr">
        <is>
          <t>2065A</t>
        </is>
      </c>
      <c r="D614" s="661" t="inlineStr">
        <is>
          <t>HAN QUOC</t>
        </is>
      </c>
      <c r="E614" s="661" t="inlineStr">
        <is>
          <t>BAGE</t>
        </is>
      </c>
      <c r="F614" s="661" t="inlineStr">
        <is>
          <t>BUBBLE BAG 600X200MM</t>
        </is>
      </c>
      <c r="G614" s="662" t="inlineStr">
        <is>
          <t>D</t>
        </is>
      </c>
      <c r="L614" s="663" t="e">
        <v>#REF!</v>
      </c>
    </row>
    <row r="615">
      <c r="B615" s="659" t="n">
        <v>401684</v>
      </c>
      <c r="C615" s="661" t="inlineStr">
        <is>
          <t>2047A</t>
        </is>
      </c>
      <c r="D615" s="661" t="inlineStr">
        <is>
          <t>NHU QUYNH</t>
        </is>
      </c>
      <c r="E615" s="661" t="inlineStr">
        <is>
          <t>RCT</t>
        </is>
      </c>
      <c r="F615" s="661" t="inlineStr">
        <is>
          <t>RSC-PN-880X435X250MM</t>
        </is>
      </c>
      <c r="G615" s="662" t="inlineStr">
        <is>
          <t>D</t>
        </is>
      </c>
      <c r="L615" s="663" t="e">
        <v>#REF!</v>
      </c>
    </row>
    <row r="616">
      <c r="B616" s="659" t="n">
        <v>401685</v>
      </c>
      <c r="C616" s="661" t="inlineStr">
        <is>
          <t>2047A</t>
        </is>
      </c>
      <c r="D616" s="661" t="inlineStr">
        <is>
          <t>NHU QUYNH</t>
        </is>
      </c>
      <c r="E616" s="661" t="inlineStr">
        <is>
          <t>RCT</t>
        </is>
      </c>
      <c r="F616" s="661" t="inlineStr">
        <is>
          <t>RSC-PN-645X365X250MM</t>
        </is>
      </c>
      <c r="G616" s="662" t="inlineStr">
        <is>
          <t>D</t>
        </is>
      </c>
      <c r="L616" s="663" t="e">
        <v>#REF!</v>
      </c>
    </row>
    <row r="617">
      <c r="B617" s="659" t="n">
        <v>401686</v>
      </c>
      <c r="C617" s="661" t="inlineStr">
        <is>
          <t>2047A</t>
        </is>
      </c>
      <c r="D617" s="661" t="inlineStr">
        <is>
          <t>NHU QUYNH</t>
        </is>
      </c>
      <c r="E617" s="661" t="inlineStr">
        <is>
          <t>RCT</t>
        </is>
      </c>
      <c r="F617" s="661" t="inlineStr">
        <is>
          <t>TELE-PN-1635X375X140MM</t>
        </is>
      </c>
      <c r="G617" s="662" t="inlineStr">
        <is>
          <t>D</t>
        </is>
      </c>
      <c r="L617" s="663" t="e">
        <v>#REF!</v>
      </c>
    </row>
    <row r="618">
      <c r="B618" s="659" t="n">
        <v>401689</v>
      </c>
      <c r="C618" s="661" t="inlineStr">
        <is>
          <t>2047A</t>
        </is>
      </c>
      <c r="D618" s="661" t="inlineStr">
        <is>
          <t>NHU QUYNH</t>
        </is>
      </c>
      <c r="E618" s="661" t="inlineStr">
        <is>
          <t>RCT</t>
        </is>
      </c>
      <c r="F618" s="661" t="inlineStr">
        <is>
          <t>RSC-PN-820X365X260MM</t>
        </is>
      </c>
      <c r="G618" s="662" t="inlineStr">
        <is>
          <t>D</t>
        </is>
      </c>
      <c r="L618" s="663" t="e">
        <v>#REF!</v>
      </c>
    </row>
    <row r="619">
      <c r="B619" s="659" t="n">
        <v>401701</v>
      </c>
      <c r="C619" s="661" t="inlineStr">
        <is>
          <t>2065A</t>
        </is>
      </c>
      <c r="D619" s="661" t="inlineStr">
        <is>
          <t>HAN QUOC</t>
        </is>
      </c>
      <c r="E619" s="661" t="inlineStr">
        <is>
          <t>BAGE</t>
        </is>
      </c>
      <c r="F619" s="661" t="inlineStr">
        <is>
          <t>BUBBLE BAG 950X180MM</t>
        </is>
      </c>
      <c r="G619" s="662" t="inlineStr">
        <is>
          <t>D</t>
        </is>
      </c>
      <c r="L619" s="663" t="e">
        <v>#REF!</v>
      </c>
    </row>
    <row r="620">
      <c r="B620" s="659" t="n">
        <v>401702</v>
      </c>
      <c r="C620" s="661" t="inlineStr">
        <is>
          <t>2065A</t>
        </is>
      </c>
      <c r="D620" s="661" t="inlineStr">
        <is>
          <t>HAN QUOC</t>
        </is>
      </c>
      <c r="E620" s="661" t="inlineStr">
        <is>
          <t>BAGE</t>
        </is>
      </c>
      <c r="F620" s="661" t="inlineStr">
        <is>
          <t>BUBBLE BAG 1650X200MM</t>
        </is>
      </c>
      <c r="G620" s="662" t="inlineStr">
        <is>
          <t>D</t>
        </is>
      </c>
      <c r="L620" s="663" t="e">
        <v>#REF!</v>
      </c>
    </row>
    <row r="621">
      <c r="B621" s="659" t="n">
        <v>401902</v>
      </c>
      <c r="C621" s="661" t="inlineStr">
        <is>
          <t>2047A</t>
        </is>
      </c>
      <c r="D621" s="661" t="inlineStr">
        <is>
          <t>NHU QUYNH</t>
        </is>
      </c>
      <c r="E621" s="661" t="inlineStr">
        <is>
          <t>RCT</t>
        </is>
      </c>
      <c r="F621" s="661" t="inlineStr">
        <is>
          <t>RSC-PN-1615X240X180MM</t>
        </is>
      </c>
      <c r="G621" s="662" t="inlineStr">
        <is>
          <t>D</t>
        </is>
      </c>
      <c r="L621" s="663" t="e">
        <v>#REF!</v>
      </c>
    </row>
    <row r="622">
      <c r="B622" s="659" t="n">
        <v>401903</v>
      </c>
      <c r="C622" s="661" t="inlineStr">
        <is>
          <t>2065A</t>
        </is>
      </c>
      <c r="D622" s="661" t="inlineStr">
        <is>
          <t>HAN QUOC</t>
        </is>
      </c>
      <c r="E622" s="661" t="inlineStr">
        <is>
          <t>BAGE</t>
        </is>
      </c>
      <c r="F622" s="661" t="inlineStr">
        <is>
          <t>BUBBLE BAG 1700X200MM</t>
        </is>
      </c>
      <c r="G622" s="662" t="inlineStr">
        <is>
          <t>D</t>
        </is>
      </c>
      <c r="L622" s="663" t="e">
        <v>#REF!</v>
      </c>
    </row>
    <row r="623">
      <c r="B623" s="659" t="n">
        <v>401904</v>
      </c>
      <c r="C623" s="661" t="inlineStr">
        <is>
          <t>2063A</t>
        </is>
      </c>
      <c r="D623" s="661" t="inlineStr">
        <is>
          <t>YFY</t>
        </is>
      </c>
      <c r="E623" s="661" t="inlineStr">
        <is>
          <t>PKLN</t>
        </is>
      </c>
      <c r="F623" s="661" t="inlineStr">
        <is>
          <t>1 WALL CORRUGATE CB 1600X230MM</t>
        </is>
      </c>
      <c r="G623" s="662" t="inlineStr">
        <is>
          <t>D</t>
        </is>
      </c>
      <c r="L623" s="663" t="e">
        <v>#REF!</v>
      </c>
    </row>
    <row r="624">
      <c r="B624" s="659" t="n">
        <v>401905</v>
      </c>
      <c r="C624" s="661" t="inlineStr">
        <is>
          <t>2063A</t>
        </is>
      </c>
      <c r="D624" s="661" t="inlineStr">
        <is>
          <t>YFY</t>
        </is>
      </c>
      <c r="E624" s="661" t="inlineStr">
        <is>
          <t>PKLN</t>
        </is>
      </c>
      <c r="F624" s="661" t="inlineStr">
        <is>
          <t>U 1 WALL CORRUGA CB 1820X150MM</t>
        </is>
      </c>
      <c r="G624" s="662" t="inlineStr">
        <is>
          <t>D</t>
        </is>
      </c>
      <c r="L624" s="663" t="e">
        <v>#REF!</v>
      </c>
    </row>
    <row r="625">
      <c r="B625" s="659" t="n">
        <v>401906</v>
      </c>
      <c r="C625" s="661" t="inlineStr">
        <is>
          <t>2047A</t>
        </is>
      </c>
      <c r="D625" s="661" t="inlineStr">
        <is>
          <t>NHU QUYNH</t>
        </is>
      </c>
      <c r="E625" s="661" t="inlineStr">
        <is>
          <t>RCT</t>
        </is>
      </c>
      <c r="F625" s="661" t="inlineStr">
        <is>
          <t>RSC-PN-2015X530X390MM</t>
        </is>
      </c>
      <c r="G625" s="662" t="inlineStr">
        <is>
          <t>D</t>
        </is>
      </c>
      <c r="L625" s="663" t="e">
        <v>#REF!</v>
      </c>
    </row>
    <row r="626">
      <c r="B626" s="659" t="n">
        <v>401907</v>
      </c>
      <c r="C626" s="661" t="inlineStr">
        <is>
          <t>2063A</t>
        </is>
      </c>
      <c r="D626" s="661" t="inlineStr">
        <is>
          <t>YFY</t>
        </is>
      </c>
      <c r="E626" s="661" t="inlineStr">
        <is>
          <t>PKLN</t>
        </is>
      </c>
      <c r="F626" s="661" t="inlineStr">
        <is>
          <t>1 WALL CORRUGATE CB 2000X520MM</t>
        </is>
      </c>
      <c r="G626" s="662" t="inlineStr">
        <is>
          <t>D</t>
        </is>
      </c>
      <c r="L626" s="663" t="e">
        <v>#REF!</v>
      </c>
    </row>
    <row r="627">
      <c r="B627" s="659" t="n">
        <v>401908</v>
      </c>
      <c r="C627" s="661" t="inlineStr">
        <is>
          <t>2063A</t>
        </is>
      </c>
      <c r="D627" s="661" t="inlineStr">
        <is>
          <t>YFY</t>
        </is>
      </c>
      <c r="E627" s="661" t="inlineStr">
        <is>
          <t>PKLN</t>
        </is>
      </c>
      <c r="F627" s="661" t="inlineStr">
        <is>
          <t>U 1 WALL CORRU CB 2510X360MM</t>
        </is>
      </c>
      <c r="G627" s="662" t="inlineStr">
        <is>
          <t>D</t>
        </is>
      </c>
      <c r="L627" s="663" t="e">
        <v>#REF!</v>
      </c>
    </row>
    <row r="628">
      <c r="B628" s="659" t="n">
        <v>401909</v>
      </c>
      <c r="C628" s="661" t="inlineStr">
        <is>
          <t>2047A</t>
        </is>
      </c>
      <c r="D628" s="661" t="inlineStr">
        <is>
          <t>NHU QUYNH</t>
        </is>
      </c>
      <c r="E628" s="661" t="inlineStr">
        <is>
          <t>RCT</t>
        </is>
      </c>
      <c r="F628" s="661" t="inlineStr">
        <is>
          <t>RSC-PN-1030X240X175MM</t>
        </is>
      </c>
      <c r="G628" s="662" t="inlineStr">
        <is>
          <t>D</t>
        </is>
      </c>
      <c r="L628" s="663" t="e">
        <v>#REF!</v>
      </c>
    </row>
    <row r="629">
      <c r="B629" s="659" t="n">
        <v>401910</v>
      </c>
      <c r="C629" s="661" t="inlineStr">
        <is>
          <t>2065A</t>
        </is>
      </c>
      <c r="D629" s="661" t="inlineStr">
        <is>
          <t>HAN QUOC</t>
        </is>
      </c>
      <c r="E629" s="661" t="inlineStr">
        <is>
          <t>BAGE</t>
        </is>
      </c>
      <c r="F629" s="661" t="inlineStr">
        <is>
          <t>BUBBLE BAG 1100X200MM</t>
        </is>
      </c>
      <c r="G629" s="662" t="inlineStr">
        <is>
          <t>D</t>
        </is>
      </c>
      <c r="L629" s="663" t="e">
        <v>#REF!</v>
      </c>
    </row>
    <row r="630">
      <c r="B630" s="659" t="n">
        <v>401911</v>
      </c>
      <c r="C630" s="661" t="inlineStr">
        <is>
          <t>2063A</t>
        </is>
      </c>
      <c r="D630" s="661" t="inlineStr">
        <is>
          <t>YFY</t>
        </is>
      </c>
      <c r="E630" s="661" t="inlineStr">
        <is>
          <t>PKLN</t>
        </is>
      </c>
      <c r="F630" s="661" t="inlineStr">
        <is>
          <t>1 WALL CORRUGATE CB 1015X230MM</t>
        </is>
      </c>
      <c r="G630" s="662" t="inlineStr">
        <is>
          <t>D</t>
        </is>
      </c>
      <c r="L630" s="663" t="e">
        <v>#REF!</v>
      </c>
    </row>
    <row r="631">
      <c r="B631" s="659" t="n">
        <v>401912</v>
      </c>
      <c r="C631" s="661" t="inlineStr">
        <is>
          <t>2063A</t>
        </is>
      </c>
      <c r="D631" s="661" t="inlineStr">
        <is>
          <t>YFY</t>
        </is>
      </c>
      <c r="E631" s="661" t="inlineStr">
        <is>
          <t>PKLN</t>
        </is>
      </c>
      <c r="F631" s="661" t="inlineStr">
        <is>
          <t>U 1 WALL CORRUG CB 1235X145MM</t>
        </is>
      </c>
      <c r="G631" s="662" t="inlineStr">
        <is>
          <t>D</t>
        </is>
      </c>
      <c r="L631" s="663" t="e">
        <v>#REF!</v>
      </c>
    </row>
    <row r="632">
      <c r="B632" s="659" t="n">
        <v>401913</v>
      </c>
      <c r="C632" s="661" t="inlineStr">
        <is>
          <t>2047A</t>
        </is>
      </c>
      <c r="D632" s="661" t="inlineStr">
        <is>
          <t>NHU QUYNH</t>
        </is>
      </c>
      <c r="E632" s="661" t="inlineStr">
        <is>
          <t>RCT</t>
        </is>
      </c>
      <c r="F632" s="661" t="inlineStr">
        <is>
          <t>RSC-PN-1430X530X370MM</t>
        </is>
      </c>
      <c r="G632" s="662" t="inlineStr">
        <is>
          <t>D</t>
        </is>
      </c>
      <c r="L632" s="663" t="e">
        <v>#REF!</v>
      </c>
    </row>
    <row r="633">
      <c r="B633" s="659" t="n">
        <v>401914</v>
      </c>
      <c r="C633" s="661" t="inlineStr">
        <is>
          <t>2063A</t>
        </is>
      </c>
      <c r="D633" s="661" t="inlineStr">
        <is>
          <t>YFY</t>
        </is>
      </c>
      <c r="E633" s="661" t="inlineStr">
        <is>
          <t>PKLN</t>
        </is>
      </c>
      <c r="F633" s="661" t="inlineStr">
        <is>
          <t>1 WALL CORRUGATE CB 1415X520MM</t>
        </is>
      </c>
      <c r="G633" s="662" t="inlineStr">
        <is>
          <t>D</t>
        </is>
      </c>
      <c r="L633" s="663" t="e">
        <v>#REF!</v>
      </c>
    </row>
    <row r="634">
      <c r="B634" s="659" t="n">
        <v>401915</v>
      </c>
      <c r="C634" s="661" t="inlineStr">
        <is>
          <t>2063A</t>
        </is>
      </c>
      <c r="D634" s="661" t="inlineStr">
        <is>
          <t>YFY</t>
        </is>
      </c>
      <c r="E634" s="661" t="inlineStr">
        <is>
          <t>PKLN</t>
        </is>
      </c>
      <c r="F634" s="661" t="inlineStr">
        <is>
          <t>U 1 WALL CORRUG CB 1925X340MM</t>
        </is>
      </c>
      <c r="G634" s="662" t="inlineStr">
        <is>
          <t>D</t>
        </is>
      </c>
      <c r="L634" s="663" t="e">
        <v>#REF!</v>
      </c>
    </row>
    <row r="635">
      <c r="B635" s="659" t="n">
        <v>401916</v>
      </c>
      <c r="C635" s="661" t="inlineStr">
        <is>
          <t>2047A</t>
        </is>
      </c>
      <c r="D635" s="661" t="inlineStr">
        <is>
          <t>NHU QUYNH</t>
        </is>
      </c>
      <c r="E635" s="661" t="inlineStr">
        <is>
          <t>RCT</t>
        </is>
      </c>
      <c r="F635" s="661" t="inlineStr">
        <is>
          <t>RSC-PN-515X235X170MM</t>
        </is>
      </c>
      <c r="G635" s="662" t="inlineStr">
        <is>
          <t>D</t>
        </is>
      </c>
      <c r="L635" s="663" t="e">
        <v>#REF!</v>
      </c>
    </row>
    <row r="636">
      <c r="B636" s="659" t="n">
        <v>401919</v>
      </c>
      <c r="C636" s="661" t="inlineStr">
        <is>
          <t>2047A</t>
        </is>
      </c>
      <c r="D636" s="661" t="inlineStr">
        <is>
          <t>NHU QUYNH</t>
        </is>
      </c>
      <c r="E636" s="661" t="inlineStr">
        <is>
          <t>RCT</t>
        </is>
      </c>
      <c r="F636" s="661" t="inlineStr">
        <is>
          <t>RSC-PN-935X530X350MM</t>
        </is>
      </c>
      <c r="G636" s="662" t="inlineStr">
        <is>
          <t>D</t>
        </is>
      </c>
      <c r="L636" s="663" t="e">
        <v>#REF!</v>
      </c>
    </row>
    <row r="637">
      <c r="B637" s="659" t="n">
        <v>401920</v>
      </c>
      <c r="C637" s="661" t="inlineStr">
        <is>
          <t>2063A</t>
        </is>
      </c>
      <c r="D637" s="661" t="inlineStr">
        <is>
          <t>YFY</t>
        </is>
      </c>
      <c r="E637" s="661" t="inlineStr">
        <is>
          <t>PKLN</t>
        </is>
      </c>
      <c r="F637" s="661" t="inlineStr">
        <is>
          <t>1 WALL CORRUGATE CB 920X520MM</t>
        </is>
      </c>
      <c r="G637" s="662" t="inlineStr">
        <is>
          <t>D</t>
        </is>
      </c>
      <c r="L637" s="663" t="e">
        <v>#REF!</v>
      </c>
    </row>
    <row r="638">
      <c r="B638" s="659" t="n">
        <v>401921</v>
      </c>
      <c r="C638" s="661" t="inlineStr">
        <is>
          <t>2063A</t>
        </is>
      </c>
      <c r="D638" s="661" t="inlineStr">
        <is>
          <t>YFY</t>
        </is>
      </c>
      <c r="E638" s="661" t="inlineStr">
        <is>
          <t>PKLN</t>
        </is>
      </c>
      <c r="F638" s="661" t="inlineStr">
        <is>
          <t>U 1 WALL CORRUGA CB 1430X320MM</t>
        </is>
      </c>
      <c r="G638" s="662" t="inlineStr">
        <is>
          <t>D</t>
        </is>
      </c>
      <c r="L638" s="663" t="e">
        <v>#REF!</v>
      </c>
    </row>
    <row r="639">
      <c r="B639" s="659" t="n">
        <v>401922</v>
      </c>
      <c r="C639" s="661" t="inlineStr">
        <is>
          <t>2047A</t>
        </is>
      </c>
      <c r="D639" s="661" t="inlineStr">
        <is>
          <t>NHU QUYNH</t>
        </is>
      </c>
      <c r="E639" s="661" t="inlineStr">
        <is>
          <t>RCT</t>
        </is>
      </c>
      <c r="F639" s="661" t="inlineStr">
        <is>
          <t>RSC-PN-565X255X240MM</t>
        </is>
      </c>
      <c r="G639" s="662" t="inlineStr">
        <is>
          <t>D</t>
        </is>
      </c>
      <c r="L639" s="663" t="e">
        <v>#REF!</v>
      </c>
    </row>
    <row r="640">
      <c r="B640" s="659" t="n">
        <v>401925</v>
      </c>
      <c r="C640" s="661" t="inlineStr">
        <is>
          <t>2047A</t>
        </is>
      </c>
      <c r="D640" s="661" t="inlineStr">
        <is>
          <t>NHU QUYNH</t>
        </is>
      </c>
      <c r="E640" s="661" t="inlineStr">
        <is>
          <t>RCT</t>
        </is>
      </c>
      <c r="F640" s="661" t="inlineStr">
        <is>
          <t>RSC-PN-760X340X410MM</t>
        </is>
      </c>
      <c r="G640" s="662" t="inlineStr">
        <is>
          <t>D</t>
        </is>
      </c>
      <c r="L640" s="663" t="e">
        <v>#REF!</v>
      </c>
    </row>
    <row r="641">
      <c r="B641" s="659" t="n">
        <v>401926</v>
      </c>
      <c r="C641" s="661" t="inlineStr">
        <is>
          <t>2063A</t>
        </is>
      </c>
      <c r="D641" s="661" t="inlineStr">
        <is>
          <t>YFY</t>
        </is>
      </c>
      <c r="E641" s="661" t="inlineStr">
        <is>
          <t>PKLN</t>
        </is>
      </c>
      <c r="F641" s="661" t="inlineStr">
        <is>
          <t>1 WALL CORRUGATE CB 745X330MM</t>
        </is>
      </c>
      <c r="G641" s="662" t="inlineStr">
        <is>
          <t>D</t>
        </is>
      </c>
      <c r="L641" s="663" t="e">
        <v>#REF!</v>
      </c>
    </row>
    <row r="642">
      <c r="B642" s="659" t="n">
        <v>401927</v>
      </c>
      <c r="C642" s="661" t="inlineStr">
        <is>
          <t>2063A</t>
        </is>
      </c>
      <c r="D642" s="661" t="inlineStr">
        <is>
          <t>YFY</t>
        </is>
      </c>
      <c r="E642" s="661" t="inlineStr">
        <is>
          <t>PKLN</t>
        </is>
      </c>
      <c r="F642" s="661" t="inlineStr">
        <is>
          <t>U 1 WALL CORRUGA CB 1065X380MM</t>
        </is>
      </c>
      <c r="G642" s="662" t="inlineStr">
        <is>
          <t>D</t>
        </is>
      </c>
      <c r="L642" s="663" t="e">
        <v>#REF!</v>
      </c>
    </row>
    <row r="643">
      <c r="B643" s="659" t="n">
        <v>401970</v>
      </c>
      <c r="C643" s="661" t="inlineStr">
        <is>
          <t>2047A</t>
        </is>
      </c>
      <c r="D643" s="661" t="inlineStr">
        <is>
          <t>NHU QUYNH</t>
        </is>
      </c>
      <c r="E643" s="661" t="inlineStr">
        <is>
          <t>RCT</t>
        </is>
      </c>
      <c r="F643" s="661" t="inlineStr">
        <is>
          <t>TELE-PN-2020X355X130MM</t>
        </is>
      </c>
      <c r="G643" s="662" t="inlineStr">
        <is>
          <t>D</t>
        </is>
      </c>
      <c r="L643" s="663" t="e">
        <v>#REF!</v>
      </c>
    </row>
    <row r="644">
      <c r="B644" s="659" t="n">
        <v>401971</v>
      </c>
      <c r="C644" s="661" t="inlineStr">
        <is>
          <t>2065A</t>
        </is>
      </c>
      <c r="D644" s="661" t="inlineStr">
        <is>
          <t>HAN QUOC</t>
        </is>
      </c>
      <c r="E644" s="661" t="inlineStr">
        <is>
          <t>BAGE</t>
        </is>
      </c>
      <c r="F644" s="661" t="inlineStr">
        <is>
          <t>BUBBLE BAG 2000X100MM</t>
        </is>
      </c>
      <c r="G644" s="662" t="inlineStr">
        <is>
          <t>D</t>
        </is>
      </c>
      <c r="L644" s="663" t="e">
        <v>#REF!</v>
      </c>
    </row>
    <row r="645">
      <c r="B645" s="659" t="n">
        <v>401972</v>
      </c>
      <c r="C645" s="661" t="inlineStr">
        <is>
          <t>2063A</t>
        </is>
      </c>
      <c r="D645" s="661" t="inlineStr">
        <is>
          <t>YFY</t>
        </is>
      </c>
      <c r="E645" s="661" t="inlineStr">
        <is>
          <t>PKLN</t>
        </is>
      </c>
      <c r="F645" s="661" t="inlineStr">
        <is>
          <t>1 WALL SEP CORRU CB 1975X310MM</t>
        </is>
      </c>
      <c r="G645" s="662" t="inlineStr">
        <is>
          <t>D</t>
        </is>
      </c>
      <c r="L645" s="663" t="e">
        <v>#REF!</v>
      </c>
    </row>
    <row r="646">
      <c r="B646" s="659" t="n">
        <v>401975</v>
      </c>
      <c r="C646" s="661" t="inlineStr">
        <is>
          <t>2047A</t>
        </is>
      </c>
      <c r="D646" s="661" t="inlineStr">
        <is>
          <t>NHU QUYNH</t>
        </is>
      </c>
      <c r="E646" s="661" t="inlineStr">
        <is>
          <t>RCT</t>
        </is>
      </c>
      <c r="F646" s="661" t="inlineStr">
        <is>
          <t>TELE-PN-1020X460X170MM</t>
        </is>
      </c>
      <c r="G646" s="662" t="inlineStr">
        <is>
          <t>D</t>
        </is>
      </c>
      <c r="L646" s="663" t="e">
        <v>#REF!</v>
      </c>
    </row>
    <row r="647">
      <c r="B647" s="659" t="n">
        <v>401976</v>
      </c>
      <c r="C647" s="661" t="inlineStr">
        <is>
          <t>2063A</t>
        </is>
      </c>
      <c r="D647" s="661" t="inlineStr">
        <is>
          <t>YFY</t>
        </is>
      </c>
      <c r="E647" s="661" t="inlineStr">
        <is>
          <t>PKLN</t>
        </is>
      </c>
      <c r="F647" s="661" t="inlineStr">
        <is>
          <t>1 WALL SEP CORRU CB 975X415MM</t>
        </is>
      </c>
      <c r="G647" s="662" t="inlineStr">
        <is>
          <t>D</t>
        </is>
      </c>
      <c r="L647" s="663" t="e">
        <v>#REF!</v>
      </c>
    </row>
    <row r="648">
      <c r="B648" s="659" t="n">
        <v>401979</v>
      </c>
      <c r="C648" s="661" t="inlineStr">
        <is>
          <t>2063A</t>
        </is>
      </c>
      <c r="D648" s="661" t="inlineStr">
        <is>
          <t>YFY</t>
        </is>
      </c>
      <c r="E648" s="661" t="inlineStr">
        <is>
          <t>PKLN</t>
        </is>
      </c>
      <c r="F648" s="661" t="inlineStr">
        <is>
          <t>1 WALL SEP CORRU CB 1020X250MM</t>
        </is>
      </c>
      <c r="G648" s="662" t="inlineStr">
        <is>
          <t>D</t>
        </is>
      </c>
      <c r="L648" s="663" t="e">
        <v>#REF!</v>
      </c>
    </row>
    <row r="649">
      <c r="B649" s="659" t="n">
        <v>401980</v>
      </c>
      <c r="C649" s="661" t="inlineStr">
        <is>
          <t>2047A</t>
        </is>
      </c>
      <c r="D649" s="661" t="inlineStr">
        <is>
          <t>NHU QUYNH</t>
        </is>
      </c>
      <c r="E649" s="661" t="inlineStr">
        <is>
          <t>RCT</t>
        </is>
      </c>
      <c r="F649" s="661" t="inlineStr">
        <is>
          <t>RSC-PN-565X330X240MM</t>
        </is>
      </c>
      <c r="G649" s="662" t="inlineStr">
        <is>
          <t>D</t>
        </is>
      </c>
      <c r="L649" s="663" t="e">
        <v>#REF!</v>
      </c>
    </row>
    <row r="650">
      <c r="B650" s="659" t="n">
        <v>401981</v>
      </c>
      <c r="C650" s="661" t="inlineStr">
        <is>
          <t>2063A</t>
        </is>
      </c>
      <c r="D650" s="661" t="inlineStr">
        <is>
          <t>YFY</t>
        </is>
      </c>
      <c r="E650" s="661" t="inlineStr">
        <is>
          <t>PKLN</t>
        </is>
      </c>
      <c r="F650" s="661" t="inlineStr">
        <is>
          <t>1 WALL SEP CORRU CB 540X310MM</t>
        </is>
      </c>
      <c r="G650" s="662" t="inlineStr">
        <is>
          <t>D</t>
        </is>
      </c>
      <c r="L650" s="663" t="e">
        <v>#REF!</v>
      </c>
    </row>
    <row r="651">
      <c r="B651" s="659" t="n">
        <v>401982</v>
      </c>
      <c r="C651" s="661" t="inlineStr">
        <is>
          <t>2047A</t>
        </is>
      </c>
      <c r="D651" s="661" t="inlineStr">
        <is>
          <t>NHU QUYNH</t>
        </is>
      </c>
      <c r="E651" s="661" t="inlineStr">
        <is>
          <t>RCT</t>
        </is>
      </c>
      <c r="F651" s="661" t="inlineStr">
        <is>
          <t>RSC-PN-830X330X140MM</t>
        </is>
      </c>
      <c r="G651" s="662" t="inlineStr">
        <is>
          <t>D</t>
        </is>
      </c>
      <c r="L651" s="663" t="e">
        <v>#REF!</v>
      </c>
    </row>
    <row r="652">
      <c r="B652" s="659" t="n">
        <v>401983</v>
      </c>
      <c r="C652" s="661" t="inlineStr">
        <is>
          <t>2063A</t>
        </is>
      </c>
      <c r="D652" s="661" t="inlineStr">
        <is>
          <t>YFY</t>
        </is>
      </c>
      <c r="E652" s="661" t="inlineStr">
        <is>
          <t>PKLN</t>
        </is>
      </c>
      <c r="F652" s="661" t="inlineStr">
        <is>
          <t>1 WALL SEP CORRU CB 805X310MM</t>
        </is>
      </c>
      <c r="G652" s="662" t="inlineStr">
        <is>
          <t>D</t>
        </is>
      </c>
      <c r="L652" s="663" t="e">
        <v>#REF!</v>
      </c>
    </row>
    <row r="653">
      <c r="B653" s="659" t="n">
        <v>401986</v>
      </c>
      <c r="C653" s="661" t="inlineStr">
        <is>
          <t>2065A</t>
        </is>
      </c>
      <c r="D653" s="661" t="inlineStr">
        <is>
          <t>HAN QUOC</t>
        </is>
      </c>
      <c r="E653" s="661" t="inlineStr">
        <is>
          <t>BAGE</t>
        </is>
      </c>
      <c r="F653" s="661" t="inlineStr">
        <is>
          <t>BUBBLE BAG 900X100MM</t>
        </is>
      </c>
      <c r="G653" s="662" t="inlineStr">
        <is>
          <t>D</t>
        </is>
      </c>
      <c r="L653" s="663" t="e">
        <v>#REF!</v>
      </c>
    </row>
    <row r="654">
      <c r="B654" s="659" t="n">
        <v>401987</v>
      </c>
      <c r="C654" s="661" t="inlineStr">
        <is>
          <t>2047A</t>
        </is>
      </c>
      <c r="D654" s="661" t="inlineStr">
        <is>
          <t>NHU QUYNH</t>
        </is>
      </c>
      <c r="E654" s="661" t="inlineStr">
        <is>
          <t>RCT</t>
        </is>
      </c>
      <c r="F654" s="661" t="inlineStr">
        <is>
          <t>RSC-PN-905X330X140MM</t>
        </is>
      </c>
      <c r="G654" s="662" t="inlineStr">
        <is>
          <t>D</t>
        </is>
      </c>
      <c r="L654" s="663" t="e">
        <v>#REF!</v>
      </c>
    </row>
    <row r="655">
      <c r="B655" s="659" t="n">
        <v>401988</v>
      </c>
      <c r="C655" s="661" t="inlineStr">
        <is>
          <t>2063A</t>
        </is>
      </c>
      <c r="D655" s="661" t="inlineStr">
        <is>
          <t>YFY</t>
        </is>
      </c>
      <c r="E655" s="661" t="inlineStr">
        <is>
          <t>PKLN</t>
        </is>
      </c>
      <c r="F655" s="661" t="inlineStr">
        <is>
          <t>1 WALL SEP CORRU CB 880X310MM</t>
        </is>
      </c>
      <c r="G655" s="662" t="inlineStr">
        <is>
          <t>D</t>
        </is>
      </c>
      <c r="L655" s="663" t="e">
        <v>#REF!</v>
      </c>
    </row>
    <row r="656">
      <c r="B656" s="659" t="n">
        <v>401989</v>
      </c>
      <c r="C656" s="661" t="inlineStr">
        <is>
          <t>2047A</t>
        </is>
      </c>
      <c r="D656" s="661" t="inlineStr">
        <is>
          <t>NHU QUYNH</t>
        </is>
      </c>
      <c r="E656" s="661" t="inlineStr">
        <is>
          <t>RCT</t>
        </is>
      </c>
      <c r="F656" s="661" t="inlineStr">
        <is>
          <t>TELE-PN-1605X355X130MM</t>
        </is>
      </c>
      <c r="G656" s="662" t="inlineStr">
        <is>
          <t>D</t>
        </is>
      </c>
      <c r="L656" s="663" t="e">
        <v>#REF!</v>
      </c>
    </row>
    <row r="657">
      <c r="B657" s="659" t="n">
        <v>401990</v>
      </c>
      <c r="C657" s="661" t="inlineStr">
        <is>
          <t>2063A</t>
        </is>
      </c>
      <c r="D657" s="661" t="inlineStr">
        <is>
          <t>YFY</t>
        </is>
      </c>
      <c r="E657" s="661" t="inlineStr">
        <is>
          <t>PKLN</t>
        </is>
      </c>
      <c r="F657" s="661" t="inlineStr">
        <is>
          <t>1 WALL SEP CORRU CB 1560X310MM</t>
        </is>
      </c>
      <c r="G657" s="662" t="inlineStr">
        <is>
          <t>D</t>
        </is>
      </c>
      <c r="L657" s="663" t="e">
        <v>#REF!</v>
      </c>
    </row>
    <row r="658">
      <c r="B658" s="659" t="n">
        <v>401991</v>
      </c>
      <c r="C658" s="661" t="inlineStr">
        <is>
          <t>2065A</t>
        </is>
      </c>
      <c r="D658" s="661" t="inlineStr">
        <is>
          <t>HAN QUOC</t>
        </is>
      </c>
      <c r="E658" s="661" t="inlineStr">
        <is>
          <t>BAGE</t>
        </is>
      </c>
      <c r="F658" s="661" t="inlineStr">
        <is>
          <t>BUBBLE BAG 1600X100MM</t>
        </is>
      </c>
      <c r="G658" s="662" t="inlineStr">
        <is>
          <t>D</t>
        </is>
      </c>
      <c r="L658" s="663" t="e">
        <v>#REF!</v>
      </c>
    </row>
    <row r="659">
      <c r="B659" s="659" t="n">
        <v>401992</v>
      </c>
      <c r="C659" s="661" t="inlineStr">
        <is>
          <t>2047A</t>
        </is>
      </c>
      <c r="D659" s="661" t="inlineStr">
        <is>
          <t>NHU QUYNH</t>
        </is>
      </c>
      <c r="E659" s="661" t="inlineStr">
        <is>
          <t>RCT</t>
        </is>
      </c>
      <c r="F659" s="661" t="inlineStr">
        <is>
          <t>TELE-PN-1525X355X130MM</t>
        </is>
      </c>
      <c r="G659" s="662" t="inlineStr">
        <is>
          <t>D</t>
        </is>
      </c>
      <c r="L659" s="663" t="e">
        <v>#REF!</v>
      </c>
    </row>
    <row r="660">
      <c r="B660" s="659" t="n">
        <v>401993</v>
      </c>
      <c r="C660" s="661" t="inlineStr">
        <is>
          <t>2063A</t>
        </is>
      </c>
      <c r="D660" s="661" t="inlineStr">
        <is>
          <t>YFY</t>
        </is>
      </c>
      <c r="E660" s="661" t="inlineStr">
        <is>
          <t>PKLN</t>
        </is>
      </c>
      <c r="F660" s="661" t="inlineStr">
        <is>
          <t>1 WALL SEP CORRU CB 1480X310MM</t>
        </is>
      </c>
      <c r="G660" s="662" t="inlineStr">
        <is>
          <t>D</t>
        </is>
      </c>
      <c r="L660" s="663" t="e">
        <v>#REF!</v>
      </c>
    </row>
    <row r="661">
      <c r="B661" s="659" t="n">
        <v>401994</v>
      </c>
      <c r="C661" s="661" t="inlineStr">
        <is>
          <t>2065A</t>
        </is>
      </c>
      <c r="D661" s="661" t="inlineStr">
        <is>
          <t>HAN QUOC</t>
        </is>
      </c>
      <c r="E661" s="661" t="inlineStr">
        <is>
          <t>BAGE</t>
        </is>
      </c>
      <c r="F661" s="661" t="inlineStr">
        <is>
          <t>BUBBLE BAG 1500X100MM</t>
        </is>
      </c>
      <c r="G661" s="662" t="inlineStr">
        <is>
          <t>D</t>
        </is>
      </c>
      <c r="L661" s="663" t="e">
        <v>#REF!</v>
      </c>
    </row>
    <row r="662">
      <c r="B662" s="659" t="n">
        <v>403000</v>
      </c>
      <c r="C662" s="661" t="inlineStr">
        <is>
          <t>2063A</t>
        </is>
      </c>
      <c r="D662" s="661" t="inlineStr">
        <is>
          <t>YFY</t>
        </is>
      </c>
      <c r="E662" s="661" t="inlineStr">
        <is>
          <t>PKLN</t>
        </is>
      </c>
      <c r="F662" s="661" t="inlineStr">
        <is>
          <t>1 WALL CORRUGAT CB 1030X260MM</t>
        </is>
      </c>
      <c r="G662" s="662" t="inlineStr">
        <is>
          <t>D</t>
        </is>
      </c>
      <c r="L662" s="663" t="e">
        <v>#REF!</v>
      </c>
    </row>
    <row r="663">
      <c r="B663" s="659" t="n">
        <v>403001</v>
      </c>
      <c r="C663" s="661" t="inlineStr">
        <is>
          <t>2063A</t>
        </is>
      </c>
      <c r="D663" s="661" t="inlineStr">
        <is>
          <t>YFY</t>
        </is>
      </c>
      <c r="E663" s="661" t="inlineStr">
        <is>
          <t>PKLN</t>
        </is>
      </c>
      <c r="F663" s="661" t="inlineStr">
        <is>
          <t>U 1 WALL CORRU CB 1280X185MM</t>
        </is>
      </c>
      <c r="G663" s="662" t="inlineStr">
        <is>
          <t>D</t>
        </is>
      </c>
      <c r="L663" s="663" t="e">
        <v>#REF!</v>
      </c>
    </row>
    <row r="664">
      <c r="B664" s="659" t="n">
        <v>403002</v>
      </c>
      <c r="C664" s="661" t="inlineStr">
        <is>
          <t>2065A</t>
        </is>
      </c>
      <c r="D664" s="661" t="inlineStr">
        <is>
          <t>HAN QUOC</t>
        </is>
      </c>
      <c r="E664" s="661" t="inlineStr">
        <is>
          <t>BAGE</t>
        </is>
      </c>
      <c r="F664" s="661" t="inlineStr">
        <is>
          <t>BUBBLE BAG 300X150MM-1</t>
        </is>
      </c>
      <c r="G664" s="662" t="inlineStr">
        <is>
          <t>D</t>
        </is>
      </c>
      <c r="L664" s="663" t="e">
        <v>#REF!</v>
      </c>
    </row>
    <row r="665">
      <c r="B665" s="659" t="n">
        <v>403003</v>
      </c>
      <c r="C665" s="661" t="inlineStr">
        <is>
          <t>2047A</t>
        </is>
      </c>
      <c r="D665" s="661" t="inlineStr">
        <is>
          <t>NHU QUYNH</t>
        </is>
      </c>
      <c r="E665" s="661" t="inlineStr">
        <is>
          <t>RCT</t>
        </is>
      </c>
      <c r="F665" s="661" t="inlineStr">
        <is>
          <t>TELE-PN-715X660X215MM</t>
        </is>
      </c>
      <c r="G665" s="662" t="inlineStr">
        <is>
          <t>D</t>
        </is>
      </c>
      <c r="L665" s="663" t="e">
        <v>#REF!</v>
      </c>
    </row>
    <row r="666">
      <c r="B666" s="659" t="n">
        <v>403004</v>
      </c>
      <c r="C666" s="661" t="inlineStr">
        <is>
          <t>2065A</t>
        </is>
      </c>
      <c r="D666" s="661" t="inlineStr">
        <is>
          <t>HAN QUOC</t>
        </is>
      </c>
      <c r="E666" s="661" t="inlineStr">
        <is>
          <t>BAGE</t>
        </is>
      </c>
      <c r="F666" s="661" t="inlineStr">
        <is>
          <t>BUBBLE BAG 750X350MM</t>
        </is>
      </c>
      <c r="G666" s="662" t="inlineStr">
        <is>
          <t>D</t>
        </is>
      </c>
      <c r="L666" s="663" t="e">
        <v>#REF!</v>
      </c>
    </row>
    <row r="667">
      <c r="B667" s="659" t="n">
        <v>403005</v>
      </c>
      <c r="C667" s="661" t="inlineStr">
        <is>
          <t>2047A</t>
        </is>
      </c>
      <c r="D667" s="661" t="inlineStr">
        <is>
          <t>NHU QUYNH</t>
        </is>
      </c>
      <c r="E667" s="661" t="inlineStr">
        <is>
          <t>RCT</t>
        </is>
      </c>
      <c r="F667" s="661" t="inlineStr">
        <is>
          <t>TELE-PN-1980X270X105MM</t>
        </is>
      </c>
      <c r="G667" s="662" t="inlineStr">
        <is>
          <t>D</t>
        </is>
      </c>
      <c r="L667" s="663" t="e">
        <v>#REF!</v>
      </c>
    </row>
    <row r="668">
      <c r="B668" s="659" t="n">
        <v>403008</v>
      </c>
      <c r="C668" s="661" t="inlineStr">
        <is>
          <t>2047A</t>
        </is>
      </c>
      <c r="D668" s="661" t="inlineStr">
        <is>
          <t>NHU QUYNH</t>
        </is>
      </c>
      <c r="E668" s="661" t="inlineStr">
        <is>
          <t>RCT</t>
        </is>
      </c>
      <c r="F668" s="661" t="inlineStr">
        <is>
          <t>RSC-PN-1350X260X190MM</t>
        </is>
      </c>
      <c r="G668" s="662" t="inlineStr">
        <is>
          <t>D</t>
        </is>
      </c>
      <c r="L668" s="663" t="e">
        <v>#REF!</v>
      </c>
    </row>
    <row r="669">
      <c r="B669" s="659" t="n">
        <v>403009</v>
      </c>
      <c r="C669" s="661" t="inlineStr">
        <is>
          <t>2065A</t>
        </is>
      </c>
      <c r="D669" s="661" t="inlineStr">
        <is>
          <t>HAN QUOC</t>
        </is>
      </c>
      <c r="E669" s="661" t="inlineStr">
        <is>
          <t>BAGE</t>
        </is>
      </c>
      <c r="F669" s="661" t="inlineStr">
        <is>
          <t>BUBBLE BAG 1450X150MM</t>
        </is>
      </c>
      <c r="G669" s="662" t="inlineStr">
        <is>
          <t>D</t>
        </is>
      </c>
      <c r="L669" s="663" t="e">
        <v>#REF!</v>
      </c>
    </row>
    <row r="670">
      <c r="B670" s="659" t="n">
        <v>403010</v>
      </c>
      <c r="C670" s="661" t="inlineStr">
        <is>
          <t>2063A</t>
        </is>
      </c>
      <c r="D670" s="661" t="inlineStr">
        <is>
          <t>YFY</t>
        </is>
      </c>
      <c r="E670" s="661" t="inlineStr">
        <is>
          <t>PKLN</t>
        </is>
      </c>
      <c r="F670" s="661" t="inlineStr">
        <is>
          <t>1 WALL CORRUGA CB 1335X250MM</t>
        </is>
      </c>
      <c r="G670" s="662" t="inlineStr">
        <is>
          <t>D</t>
        </is>
      </c>
      <c r="L670" s="663" t="e">
        <v>#REF!</v>
      </c>
    </row>
    <row r="671">
      <c r="B671" s="659" t="n">
        <v>403011</v>
      </c>
      <c r="C671" s="661" t="inlineStr">
        <is>
          <t>2063A</t>
        </is>
      </c>
      <c r="D671" s="661" t="inlineStr">
        <is>
          <t>YFY</t>
        </is>
      </c>
      <c r="E671" s="661" t="inlineStr">
        <is>
          <t>PKLN</t>
        </is>
      </c>
      <c r="F671" s="661" t="inlineStr">
        <is>
          <t>U 1 WALL CORRUGA CB 1575X160MM</t>
        </is>
      </c>
      <c r="G671" s="662" t="inlineStr">
        <is>
          <t>D</t>
        </is>
      </c>
      <c r="L671" s="663" t="e">
        <v>#REF!</v>
      </c>
    </row>
    <row r="672">
      <c r="B672" s="659" t="n">
        <v>403012</v>
      </c>
      <c r="C672" s="661" t="inlineStr">
        <is>
          <t>2047A</t>
        </is>
      </c>
      <c r="D672" s="661" t="inlineStr">
        <is>
          <t>NHU QUYNH</t>
        </is>
      </c>
      <c r="E672" s="661" t="inlineStr">
        <is>
          <t>RCT</t>
        </is>
      </c>
      <c r="F672" s="661" t="inlineStr">
        <is>
          <t>RSC-PN-570X320X430MM</t>
        </is>
      </c>
      <c r="G672" s="662" t="inlineStr">
        <is>
          <t>D</t>
        </is>
      </c>
      <c r="L672" s="663" t="e">
        <v>#REF!</v>
      </c>
    </row>
    <row r="673">
      <c r="B673" s="659" t="n">
        <v>403013</v>
      </c>
      <c r="C673" s="661" t="inlineStr">
        <is>
          <t>2047A</t>
        </is>
      </c>
      <c r="D673" s="661" t="inlineStr">
        <is>
          <t>NHU QUYNH</t>
        </is>
      </c>
      <c r="E673" s="661" t="inlineStr">
        <is>
          <t>RCT</t>
        </is>
      </c>
      <c r="F673" s="661" t="inlineStr">
        <is>
          <t>RSC-PN-600X400X250MM</t>
        </is>
      </c>
      <c r="G673" s="662" t="inlineStr">
        <is>
          <t>D</t>
        </is>
      </c>
      <c r="L673" s="663" t="e">
        <v>#REF!</v>
      </c>
    </row>
    <row r="674">
      <c r="B674" s="659" t="n">
        <v>403014</v>
      </c>
      <c r="C674" s="661" t="inlineStr">
        <is>
          <t>2047A</t>
        </is>
      </c>
      <c r="D674" s="661" t="inlineStr">
        <is>
          <t>NHU QUYNH</t>
        </is>
      </c>
      <c r="E674" s="661" t="inlineStr">
        <is>
          <t>RCT</t>
        </is>
      </c>
      <c r="F674" s="661" t="inlineStr">
        <is>
          <t>TELE-PN-715X610X225MM</t>
        </is>
      </c>
      <c r="G674" s="662" t="inlineStr">
        <is>
          <t>D</t>
        </is>
      </c>
      <c r="L674" s="663" t="e">
        <v>#REF!</v>
      </c>
    </row>
    <row r="675">
      <c r="B675" s="659" t="n">
        <v>403081</v>
      </c>
      <c r="C675" s="661" t="inlineStr">
        <is>
          <t>2065A</t>
        </is>
      </c>
      <c r="D675" s="661" t="inlineStr">
        <is>
          <t>HAN QUOC</t>
        </is>
      </c>
      <c r="E675" s="661" t="inlineStr">
        <is>
          <t>BAGE</t>
        </is>
      </c>
      <c r="F675" s="661" t="inlineStr">
        <is>
          <t>BUBBLE BAG 2050X150MM</t>
        </is>
      </c>
      <c r="G675" s="662" t="inlineStr">
        <is>
          <t>D</t>
        </is>
      </c>
      <c r="L675" s="663" t="e">
        <v>#REF!</v>
      </c>
    </row>
    <row r="676">
      <c r="B676" s="659" t="n">
        <v>403159</v>
      </c>
      <c r="C676" s="661" t="inlineStr">
        <is>
          <t>2070A</t>
        </is>
      </c>
      <c r="D676" s="661" t="inlineStr">
        <is>
          <t>DUC AN</t>
        </is>
      </c>
      <c r="E676" s="661" t="inlineStr">
        <is>
          <t>UEPM</t>
        </is>
      </c>
      <c r="F676" s="661" t="inlineStr">
        <is>
          <t>EPS 60X60X45MM 13KG SC</t>
        </is>
      </c>
      <c r="G676" s="662" t="inlineStr">
        <is>
          <t>D</t>
        </is>
      </c>
      <c r="L676" s="663" t="e">
        <v>#REF!</v>
      </c>
    </row>
    <row r="677">
      <c r="B677" s="659" t="n">
        <v>403160</v>
      </c>
      <c r="C677" s="661" t="inlineStr">
        <is>
          <t>2065A</t>
        </is>
      </c>
      <c r="D677" s="661" t="inlineStr">
        <is>
          <t>HAN QUOC</t>
        </is>
      </c>
      <c r="E677" s="661" t="inlineStr">
        <is>
          <t>BAGE</t>
        </is>
      </c>
      <c r="F677" s="661" t="inlineStr">
        <is>
          <t>BUBBLE BAG 700X350MM</t>
        </is>
      </c>
      <c r="G677" s="662" t="inlineStr">
        <is>
          <t>D</t>
        </is>
      </c>
      <c r="L677" s="663" t="e">
        <v>#REF!</v>
      </c>
    </row>
    <row r="678">
      <c r="B678" s="659" t="n">
        <v>403161</v>
      </c>
      <c r="C678" s="661" t="inlineStr">
        <is>
          <t>2047A</t>
        </is>
      </c>
      <c r="D678" s="661" t="inlineStr">
        <is>
          <t>NHU QUYNH</t>
        </is>
      </c>
      <c r="E678" s="661" t="inlineStr">
        <is>
          <t>RCT</t>
        </is>
      </c>
      <c r="F678" s="661" t="inlineStr">
        <is>
          <t>RSC-PN-1730X230X135MM</t>
        </is>
      </c>
      <c r="G678" s="662" t="inlineStr">
        <is>
          <t>D</t>
        </is>
      </c>
      <c r="L678" s="663" t="e">
        <v>#REF!</v>
      </c>
    </row>
    <row r="679">
      <c r="B679" s="659" t="n">
        <v>403163</v>
      </c>
      <c r="C679" s="661" t="inlineStr">
        <is>
          <t>2063A</t>
        </is>
      </c>
      <c r="D679" s="661" t="inlineStr">
        <is>
          <t>YFY</t>
        </is>
      </c>
      <c r="E679" s="661" t="inlineStr">
        <is>
          <t>PKLN</t>
        </is>
      </c>
      <c r="F679" s="661" t="inlineStr">
        <is>
          <t>1 WALL CORRU CB 1715X220MM</t>
        </is>
      </c>
      <c r="G679" s="662" t="inlineStr">
        <is>
          <t>D</t>
        </is>
      </c>
      <c r="L679" s="663" t="e">
        <v>#REF!</v>
      </c>
    </row>
    <row r="680">
      <c r="B680" s="659" t="n">
        <v>403164</v>
      </c>
      <c r="C680" s="661" t="inlineStr">
        <is>
          <t>2063A</t>
        </is>
      </c>
      <c r="D680" s="661" t="inlineStr">
        <is>
          <t>YFY</t>
        </is>
      </c>
      <c r="E680" s="661" t="inlineStr">
        <is>
          <t>PKLN</t>
        </is>
      </c>
      <c r="F680" s="661" t="inlineStr">
        <is>
          <t>U 1 WALL CORRU CB 1925X105MM</t>
        </is>
      </c>
      <c r="G680" s="662" t="inlineStr">
        <is>
          <t>D</t>
        </is>
      </c>
      <c r="L680" s="663" t="e">
        <v>#REF!</v>
      </c>
    </row>
    <row r="681">
      <c r="B681" s="659" t="n">
        <v>403165</v>
      </c>
      <c r="C681" s="661" t="inlineStr">
        <is>
          <t>2047A</t>
        </is>
      </c>
      <c r="D681" s="661" t="inlineStr">
        <is>
          <t>NHU QUYNH</t>
        </is>
      </c>
      <c r="E681" s="661" t="inlineStr">
        <is>
          <t>RCT</t>
        </is>
      </c>
      <c r="F681" s="661" t="inlineStr">
        <is>
          <t>TELE-PN-1165X470X135MM</t>
        </is>
      </c>
      <c r="G681" s="662" t="inlineStr">
        <is>
          <t>D</t>
        </is>
      </c>
      <c r="L681" s="663" t="e">
        <v>#REF!</v>
      </c>
    </row>
    <row r="682">
      <c r="B682" s="659" t="n">
        <v>403166</v>
      </c>
      <c r="C682" s="661" t="inlineStr">
        <is>
          <t>2065A</t>
        </is>
      </c>
      <c r="D682" s="661" t="inlineStr">
        <is>
          <t>HAN QUOC</t>
        </is>
      </c>
      <c r="E682" s="661" t="inlineStr">
        <is>
          <t>BAGE</t>
        </is>
      </c>
      <c r="F682" s="661" t="inlineStr">
        <is>
          <t>BUBBLE BAG 2150X150MM</t>
        </is>
      </c>
      <c r="G682" s="662" t="inlineStr">
        <is>
          <t>D</t>
        </is>
      </c>
      <c r="L682" s="663" t="e">
        <v>#REF!</v>
      </c>
    </row>
    <row r="683">
      <c r="B683" s="659" t="n">
        <v>403169</v>
      </c>
      <c r="C683" s="661" t="inlineStr">
        <is>
          <t>2047A</t>
        </is>
      </c>
      <c r="D683" s="661" t="inlineStr">
        <is>
          <t>NHU QUYNH</t>
        </is>
      </c>
      <c r="E683" s="661" t="inlineStr">
        <is>
          <t>RCT</t>
        </is>
      </c>
      <c r="F683" s="661" t="inlineStr">
        <is>
          <t>RSC-PN-610X460X130MM</t>
        </is>
      </c>
      <c r="G683" s="662" t="inlineStr">
        <is>
          <t>D</t>
        </is>
      </c>
      <c r="L683" s="663" t="e">
        <v>#REF!</v>
      </c>
    </row>
    <row r="684">
      <c r="B684" s="659" t="n">
        <v>403177</v>
      </c>
      <c r="C684" s="661" t="inlineStr">
        <is>
          <t>2047A</t>
        </is>
      </c>
      <c r="D684" s="661" t="inlineStr">
        <is>
          <t>NHU QUYNH</t>
        </is>
      </c>
      <c r="E684" s="661" t="inlineStr">
        <is>
          <t>RCT</t>
        </is>
      </c>
      <c r="F684" s="661" t="inlineStr">
        <is>
          <t>RSC-PN-750X320X240MM</t>
        </is>
      </c>
      <c r="G684" s="662" t="inlineStr">
        <is>
          <t>D</t>
        </is>
      </c>
      <c r="L684" s="663" t="e">
        <v>#REF!</v>
      </c>
    </row>
    <row r="685">
      <c r="B685" s="659" t="n">
        <v>403208</v>
      </c>
      <c r="C685" s="661" t="inlineStr">
        <is>
          <t>2065A</t>
        </is>
      </c>
      <c r="D685" s="661" t="inlineStr">
        <is>
          <t>HAN QUOC</t>
        </is>
      </c>
      <c r="E685" s="661" t="inlineStr">
        <is>
          <t>BAGE</t>
        </is>
      </c>
      <c r="F685" s="661" t="inlineStr">
        <is>
          <t>BUBBLE BAG 950X200MM</t>
        </is>
      </c>
      <c r="G685" s="662" t="inlineStr">
        <is>
          <t>D</t>
        </is>
      </c>
      <c r="L685" s="663" t="e">
        <v>#REF!</v>
      </c>
    </row>
    <row r="686">
      <c r="B686" s="659" t="n">
        <v>403273</v>
      </c>
      <c r="C686" s="661" t="inlineStr">
        <is>
          <t>2065A</t>
        </is>
      </c>
      <c r="D686" s="661" t="inlineStr">
        <is>
          <t>HAN QUOC</t>
        </is>
      </c>
      <c r="E686" s="661" t="inlineStr">
        <is>
          <t>BAGE</t>
        </is>
      </c>
      <c r="F686" s="661" t="inlineStr">
        <is>
          <t>BUBBLE BAG 1200X200MM</t>
        </is>
      </c>
      <c r="G686" s="662" t="inlineStr">
        <is>
          <t>D</t>
        </is>
      </c>
      <c r="L686" s="663" t="e">
        <v>#REF!</v>
      </c>
    </row>
    <row r="687">
      <c r="B687" s="659" t="n">
        <v>403278</v>
      </c>
      <c r="C687" s="661" t="inlineStr">
        <is>
          <t>2047A</t>
        </is>
      </c>
      <c r="D687" s="661" t="inlineStr">
        <is>
          <t>NHU QUYNH</t>
        </is>
      </c>
      <c r="E687" s="661" t="inlineStr">
        <is>
          <t>RCT</t>
        </is>
      </c>
      <c r="F687" s="661" t="inlineStr">
        <is>
          <t>RSC-PN-560X505X215MM</t>
        </is>
      </c>
      <c r="G687" s="662" t="inlineStr">
        <is>
          <t>D</t>
        </is>
      </c>
      <c r="L687" s="663" t="e">
        <v>#REF!</v>
      </c>
    </row>
    <row r="688">
      <c r="B688" s="659" t="n">
        <v>403284</v>
      </c>
      <c r="C688" s="661" t="inlineStr">
        <is>
          <t>2047A</t>
        </is>
      </c>
      <c r="D688" s="661" t="inlineStr">
        <is>
          <t>NHU QUYNH</t>
        </is>
      </c>
      <c r="E688" s="661" t="inlineStr">
        <is>
          <t>PKLN</t>
        </is>
      </c>
      <c r="F688" s="661" t="inlineStr">
        <is>
          <t>2 W SUPPORT CRT 520X115X315MM</t>
        </is>
      </c>
      <c r="G688" s="662" t="inlineStr">
        <is>
          <t>D</t>
        </is>
      </c>
      <c r="L688" s="663" t="e">
        <v>#REF!</v>
      </c>
    </row>
    <row r="689">
      <c r="B689" s="659" t="n">
        <v>403285</v>
      </c>
      <c r="C689" s="661" t="inlineStr">
        <is>
          <t>2047A</t>
        </is>
      </c>
      <c r="D689" s="661" t="inlineStr">
        <is>
          <t>NHU QUYNH</t>
        </is>
      </c>
      <c r="E689" s="661" t="inlineStr">
        <is>
          <t>PKLN</t>
        </is>
      </c>
      <c r="F689" s="661" t="inlineStr">
        <is>
          <t>2 W SUPPORT CRT 520X115X285MM</t>
        </is>
      </c>
      <c r="G689" s="662" t="inlineStr">
        <is>
          <t>D</t>
        </is>
      </c>
      <c r="L689" s="663" t="e">
        <v>#REF!</v>
      </c>
    </row>
    <row r="690">
      <c r="B690" s="659" t="n">
        <v>403286</v>
      </c>
      <c r="C690" s="661" t="inlineStr">
        <is>
          <t>2047A</t>
        </is>
      </c>
      <c r="D690" s="661" t="inlineStr">
        <is>
          <t>NHU QUYNH</t>
        </is>
      </c>
      <c r="E690" s="661" t="inlineStr">
        <is>
          <t>PKLN</t>
        </is>
      </c>
      <c r="F690" s="661" t="inlineStr">
        <is>
          <t>2 W SUPPORT CRT 520X115X265MM</t>
        </is>
      </c>
      <c r="G690" s="662" t="inlineStr">
        <is>
          <t>D</t>
        </is>
      </c>
      <c r="L690" s="663" t="e">
        <v>#REF!</v>
      </c>
    </row>
    <row r="691">
      <c r="B691" s="659" t="n">
        <v>403321</v>
      </c>
      <c r="C691" s="661" t="inlineStr">
        <is>
          <t>2065A</t>
        </is>
      </c>
      <c r="D691" s="661" t="inlineStr">
        <is>
          <t>HAN QUOC</t>
        </is>
      </c>
      <c r="E691" s="661" t="inlineStr">
        <is>
          <t>BAGE</t>
        </is>
      </c>
      <c r="F691" s="661" t="inlineStr">
        <is>
          <t>BUBBLE BAG 1550X200MM</t>
        </is>
      </c>
      <c r="G691" s="662" t="inlineStr">
        <is>
          <t>D</t>
        </is>
      </c>
      <c r="L691" s="663" t="e">
        <v>#REF!</v>
      </c>
    </row>
    <row r="692">
      <c r="B692" s="659" t="n">
        <v>403381</v>
      </c>
      <c r="C692" s="661" t="inlineStr">
        <is>
          <t>2066A</t>
        </is>
      </c>
      <c r="D692" s="661" t="inlineStr">
        <is>
          <t>CTY SG</t>
        </is>
      </c>
      <c r="E692" s="661" t="inlineStr">
        <is>
          <t>UEPM</t>
        </is>
      </c>
      <c r="F692" s="661" t="inlineStr">
        <is>
          <t>EPE FILM 630X315X3MM</t>
        </is>
      </c>
      <c r="G692" s="662" t="inlineStr">
        <is>
          <t>D</t>
        </is>
      </c>
      <c r="L692" s="663" t="e">
        <v>#REF!</v>
      </c>
    </row>
    <row r="693">
      <c r="B693" s="659" t="n">
        <v>403382</v>
      </c>
      <c r="C693" s="661" t="inlineStr">
        <is>
          <t>2047A</t>
        </is>
      </c>
      <c r="D693" s="661" t="inlineStr">
        <is>
          <t>NHU QUYNH</t>
        </is>
      </c>
      <c r="E693" s="661" t="inlineStr">
        <is>
          <t>RCT</t>
        </is>
      </c>
      <c r="F693" s="661" t="inlineStr">
        <is>
          <t>RSC-PN-1045X270X215MM</t>
        </is>
      </c>
      <c r="G693" s="662" t="inlineStr">
        <is>
          <t>D</t>
        </is>
      </c>
      <c r="L693" s="663" t="e">
        <v>#REF!</v>
      </c>
    </row>
    <row r="694">
      <c r="B694" s="659" t="n">
        <v>403384</v>
      </c>
      <c r="C694" s="661" t="inlineStr">
        <is>
          <t>2066A</t>
        </is>
      </c>
      <c r="D694" s="661" t="inlineStr">
        <is>
          <t>CTY SG</t>
        </is>
      </c>
      <c r="E694" s="661" t="inlineStr">
        <is>
          <t>UEPM</t>
        </is>
      </c>
      <c r="F694" s="661" t="inlineStr">
        <is>
          <t>EPE FILM 615X300X3MM</t>
        </is>
      </c>
      <c r="G694" s="662" t="inlineStr">
        <is>
          <t>D</t>
        </is>
      </c>
      <c r="L694" s="663" t="e">
        <v>#REF!</v>
      </c>
    </row>
    <row r="695">
      <c r="B695" s="659" t="n">
        <v>403502</v>
      </c>
      <c r="C695" s="661" t="inlineStr">
        <is>
          <t>2047A</t>
        </is>
      </c>
      <c r="D695" s="661" t="inlineStr">
        <is>
          <t>NHU QUYNH</t>
        </is>
      </c>
      <c r="E695" s="661" t="inlineStr">
        <is>
          <t>RCT</t>
        </is>
      </c>
      <c r="F695" s="661" t="inlineStr">
        <is>
          <t>TELE-PN-2140X420X155MM</t>
        </is>
      </c>
      <c r="G695" s="662" t="inlineStr">
        <is>
          <t>D</t>
        </is>
      </c>
      <c r="L695" s="663" t="e">
        <v>#REF!</v>
      </c>
    </row>
    <row r="696">
      <c r="B696" s="659" t="n">
        <v>403503</v>
      </c>
      <c r="C696" s="661" t="inlineStr">
        <is>
          <t>2047A</t>
        </is>
      </c>
      <c r="D696" s="661" t="inlineStr">
        <is>
          <t>NHU QUYNH</t>
        </is>
      </c>
      <c r="E696" s="661" t="inlineStr">
        <is>
          <t>RCT</t>
        </is>
      </c>
      <c r="F696" s="661" t="inlineStr">
        <is>
          <t>TELE-PN-2135X360X130MM</t>
        </is>
      </c>
      <c r="G696" s="662" t="inlineStr">
        <is>
          <t>D</t>
        </is>
      </c>
      <c r="L696" s="663" t="e">
        <v>#REF!</v>
      </c>
    </row>
    <row r="697">
      <c r="B697" s="659" t="n">
        <v>403504</v>
      </c>
      <c r="C697" s="661" t="inlineStr">
        <is>
          <t>2047A</t>
        </is>
      </c>
      <c r="D697" s="661" t="inlineStr">
        <is>
          <t>NHU QUYNH</t>
        </is>
      </c>
      <c r="E697" s="661" t="inlineStr">
        <is>
          <t>RCT</t>
        </is>
      </c>
      <c r="F697" s="661" t="inlineStr">
        <is>
          <t>RSC-PN-2170X555X395MM</t>
        </is>
      </c>
      <c r="G697" s="662" t="inlineStr">
        <is>
          <t>D</t>
        </is>
      </c>
      <c r="L697" s="663" t="e">
        <v>#REF!</v>
      </c>
    </row>
    <row r="698">
      <c r="B698" s="659" t="n">
        <v>403505</v>
      </c>
      <c r="C698" s="661" t="inlineStr">
        <is>
          <t>2065A</t>
        </is>
      </c>
      <c r="D698" s="661" t="inlineStr">
        <is>
          <t>HAN QUOC</t>
        </is>
      </c>
      <c r="E698" s="661" t="inlineStr">
        <is>
          <t>BAGE</t>
        </is>
      </c>
      <c r="F698" s="661" t="inlineStr">
        <is>
          <t>BUBBLE BAG 2550X200MM</t>
        </is>
      </c>
      <c r="G698" s="662" t="inlineStr">
        <is>
          <t>D</t>
        </is>
      </c>
      <c r="L698" s="663" t="e">
        <v>#REF!</v>
      </c>
    </row>
    <row r="699">
      <c r="B699" s="659" t="n">
        <v>403506</v>
      </c>
      <c r="C699" s="661" t="inlineStr">
        <is>
          <t>2063A</t>
        </is>
      </c>
      <c r="D699" s="661" t="inlineStr">
        <is>
          <t>YFY</t>
        </is>
      </c>
      <c r="E699" s="661" t="inlineStr">
        <is>
          <t>PKLN</t>
        </is>
      </c>
      <c r="F699" s="661" t="inlineStr">
        <is>
          <t>1 WALL CORRU CB 2155X545MM</t>
        </is>
      </c>
      <c r="G699" s="662" t="inlineStr">
        <is>
          <t>D</t>
        </is>
      </c>
      <c r="L699" s="663" t="e">
        <v>#REF!</v>
      </c>
    </row>
    <row r="700">
      <c r="B700" s="659" t="n">
        <v>403507</v>
      </c>
      <c r="C700" s="661" t="inlineStr">
        <is>
          <t>2063A</t>
        </is>
      </c>
      <c r="D700" s="661" t="inlineStr">
        <is>
          <t>YFY</t>
        </is>
      </c>
      <c r="E700" s="661" t="inlineStr">
        <is>
          <t>PKLN</t>
        </is>
      </c>
      <c r="F700" s="661" t="inlineStr">
        <is>
          <t>U 1 WALL CORRU CB 2690X365MM</t>
        </is>
      </c>
      <c r="G700" s="662" t="inlineStr">
        <is>
          <t>D</t>
        </is>
      </c>
      <c r="L700" s="663" t="e">
        <v>#REF!</v>
      </c>
    </row>
    <row r="701">
      <c r="B701" s="659" t="n">
        <v>403508</v>
      </c>
      <c r="C701" s="661" t="inlineStr">
        <is>
          <t>2047A</t>
        </is>
      </c>
      <c r="D701" s="661" t="inlineStr">
        <is>
          <t>NHU QUYNH</t>
        </is>
      </c>
      <c r="E701" s="661" t="inlineStr">
        <is>
          <t>RCT</t>
        </is>
      </c>
      <c r="F701" s="661" t="inlineStr">
        <is>
          <t>TELE-PN-1555X430X150MM</t>
        </is>
      </c>
      <c r="G701" s="662" t="inlineStr">
        <is>
          <t>D</t>
        </is>
      </c>
      <c r="L701" s="663" t="e">
        <v>#REF!</v>
      </c>
    </row>
    <row r="702">
      <c r="B702" s="659" t="n">
        <v>403509</v>
      </c>
      <c r="C702" s="661" t="inlineStr">
        <is>
          <t>2047A</t>
        </is>
      </c>
      <c r="D702" s="661" t="inlineStr">
        <is>
          <t>NHU QUYNH</t>
        </is>
      </c>
      <c r="E702" s="661" t="inlineStr">
        <is>
          <t>RCT</t>
        </is>
      </c>
      <c r="F702" s="661" t="inlineStr">
        <is>
          <t>TELE-PN-1555X360X150MM</t>
        </is>
      </c>
      <c r="G702" s="662" t="inlineStr">
        <is>
          <t>D</t>
        </is>
      </c>
      <c r="L702" s="663" t="e">
        <v>#REF!</v>
      </c>
    </row>
    <row r="703">
      <c r="B703" s="659" t="n">
        <v>403510</v>
      </c>
      <c r="C703" s="661" t="inlineStr">
        <is>
          <t>2047A</t>
        </is>
      </c>
      <c r="D703" s="661" t="inlineStr">
        <is>
          <t>NHU QUYNH</t>
        </is>
      </c>
      <c r="E703" s="661" t="inlineStr">
        <is>
          <t>RCT</t>
        </is>
      </c>
      <c r="F703" s="661" t="inlineStr">
        <is>
          <t>RSC-PN-1590X555X385MM</t>
        </is>
      </c>
      <c r="G703" s="662" t="inlineStr">
        <is>
          <t>D</t>
        </is>
      </c>
      <c r="L703" s="663" t="e">
        <v>#REF!</v>
      </c>
    </row>
    <row r="704">
      <c r="B704" s="659" t="n">
        <v>403512</v>
      </c>
      <c r="C704" s="661" t="inlineStr">
        <is>
          <t>2063A</t>
        </is>
      </c>
      <c r="D704" s="661" t="inlineStr">
        <is>
          <t>YFY</t>
        </is>
      </c>
      <c r="E704" s="661" t="inlineStr">
        <is>
          <t>PKLN</t>
        </is>
      </c>
      <c r="F704" s="661" t="inlineStr">
        <is>
          <t>1 WALL CORRU CB 1575X545MM</t>
        </is>
      </c>
      <c r="G704" s="662" t="inlineStr">
        <is>
          <t>D</t>
        </is>
      </c>
      <c r="L704" s="663" t="e">
        <v>#REF!</v>
      </c>
    </row>
    <row r="705">
      <c r="B705" s="659" t="n">
        <v>403513</v>
      </c>
      <c r="C705" s="661" t="inlineStr">
        <is>
          <t>2063A</t>
        </is>
      </c>
      <c r="D705" s="661" t="inlineStr">
        <is>
          <t>YFY</t>
        </is>
      </c>
      <c r="E705" s="661" t="inlineStr">
        <is>
          <t>PKLN</t>
        </is>
      </c>
      <c r="F705" s="661" t="inlineStr">
        <is>
          <t>U 1 WALL CORRU CB 2110X355MM</t>
        </is>
      </c>
      <c r="G705" s="662" t="inlineStr">
        <is>
          <t>D</t>
        </is>
      </c>
      <c r="L705" s="663" t="e">
        <v>#REF!</v>
      </c>
    </row>
    <row r="706">
      <c r="B706" s="659" t="n">
        <v>403514</v>
      </c>
      <c r="C706" s="661" t="inlineStr">
        <is>
          <t>2047A</t>
        </is>
      </c>
      <c r="D706" s="661" t="inlineStr">
        <is>
          <t>NHU QUYNH</t>
        </is>
      </c>
      <c r="E706" s="661" t="inlineStr">
        <is>
          <t>RCT</t>
        </is>
      </c>
      <c r="F706" s="661" t="inlineStr">
        <is>
          <t>TELE-PN-1225X425X130MM</t>
        </is>
      </c>
      <c r="G706" s="662" t="inlineStr">
        <is>
          <t>D</t>
        </is>
      </c>
      <c r="L706" s="663" t="e">
        <v>#REF!</v>
      </c>
    </row>
    <row r="707">
      <c r="B707" s="659" t="n">
        <v>403515</v>
      </c>
      <c r="C707" s="661" t="inlineStr">
        <is>
          <t>2047A</t>
        </is>
      </c>
      <c r="D707" s="661" t="inlineStr">
        <is>
          <t>NHU QUYNH</t>
        </is>
      </c>
      <c r="E707" s="661" t="inlineStr">
        <is>
          <t>RCT</t>
        </is>
      </c>
      <c r="F707" s="661" t="inlineStr">
        <is>
          <t>TELE-PN-1225X360X150MM</t>
        </is>
      </c>
      <c r="G707" s="662" t="inlineStr">
        <is>
          <t>D</t>
        </is>
      </c>
      <c r="L707" s="663" t="e">
        <v>#REF!</v>
      </c>
    </row>
    <row r="708">
      <c r="B708" s="659" t="n">
        <v>403516</v>
      </c>
      <c r="C708" s="661" t="inlineStr">
        <is>
          <t>2065A</t>
        </is>
      </c>
      <c r="D708" s="661" t="inlineStr">
        <is>
          <t>HAN QUOC</t>
        </is>
      </c>
      <c r="E708" s="661" t="inlineStr">
        <is>
          <t>BAGE</t>
        </is>
      </c>
      <c r="F708" s="661" t="inlineStr">
        <is>
          <t>BUBBLE BAG 1250X150MM</t>
        </is>
      </c>
      <c r="G708" s="662" t="inlineStr">
        <is>
          <t>D</t>
        </is>
      </c>
      <c r="L708" s="663" t="e">
        <v>#REF!</v>
      </c>
    </row>
    <row r="709">
      <c r="B709" s="659" t="n">
        <v>403518</v>
      </c>
      <c r="C709" s="661" t="inlineStr">
        <is>
          <t>2063A</t>
        </is>
      </c>
      <c r="D709" s="661" t="inlineStr">
        <is>
          <t>YFY</t>
        </is>
      </c>
      <c r="E709" s="661" t="inlineStr">
        <is>
          <t>PKLN</t>
        </is>
      </c>
      <c r="F709" s="661" t="inlineStr">
        <is>
          <t>1 WALL CORRU CB 1245X545MM</t>
        </is>
      </c>
      <c r="G709" s="662" t="inlineStr">
        <is>
          <t>D</t>
        </is>
      </c>
      <c r="L709" s="663" t="e">
        <v>#REF!</v>
      </c>
    </row>
    <row r="710">
      <c r="B710" s="659" t="n">
        <v>403520</v>
      </c>
      <c r="C710" s="661" t="inlineStr">
        <is>
          <t>2047A</t>
        </is>
      </c>
      <c r="D710" s="661" t="inlineStr">
        <is>
          <t>NHU QUYNH</t>
        </is>
      </c>
      <c r="E710" s="661" t="inlineStr">
        <is>
          <t>RCT</t>
        </is>
      </c>
      <c r="F710" s="661" t="inlineStr">
        <is>
          <t>TELE-PN-1190X415X130MM</t>
        </is>
      </c>
      <c r="G710" s="662" t="inlineStr">
        <is>
          <t>D</t>
        </is>
      </c>
      <c r="L710" s="663" t="e">
        <v>#REF!</v>
      </c>
    </row>
    <row r="711">
      <c r="B711" s="659" t="n">
        <v>403521</v>
      </c>
      <c r="C711" s="661" t="inlineStr">
        <is>
          <t>2047A</t>
        </is>
      </c>
      <c r="D711" s="661" t="inlineStr">
        <is>
          <t>NHU QUYNH</t>
        </is>
      </c>
      <c r="E711" s="661" t="inlineStr">
        <is>
          <t>RCT</t>
        </is>
      </c>
      <c r="F711" s="661" t="inlineStr">
        <is>
          <t>TELE-PN-900X440X195MM</t>
        </is>
      </c>
      <c r="G711" s="662" t="inlineStr">
        <is>
          <t>D</t>
        </is>
      </c>
      <c r="L711" s="663" t="e">
        <v>#REF!</v>
      </c>
    </row>
    <row r="712">
      <c r="B712" s="659" t="n">
        <v>403522</v>
      </c>
      <c r="C712" s="661" t="inlineStr">
        <is>
          <t>2047A</t>
        </is>
      </c>
      <c r="D712" s="661" t="inlineStr">
        <is>
          <t>NHU QUYNH</t>
        </is>
      </c>
      <c r="E712" s="661" t="inlineStr">
        <is>
          <t>RCT</t>
        </is>
      </c>
      <c r="F712" s="661" t="inlineStr">
        <is>
          <t>RSC-PN-750X455X195MM</t>
        </is>
      </c>
      <c r="G712" s="662" t="inlineStr">
        <is>
          <t>D</t>
        </is>
      </c>
      <c r="L712" s="663" t="e">
        <v>#REF!</v>
      </c>
    </row>
    <row r="713">
      <c r="B713" s="659" t="n">
        <v>403523</v>
      </c>
      <c r="C713" s="661" t="inlineStr">
        <is>
          <t>2065A</t>
        </is>
      </c>
      <c r="D713" s="661" t="inlineStr">
        <is>
          <t>HAN QUOC</t>
        </is>
      </c>
      <c r="E713" s="661" t="inlineStr">
        <is>
          <t>BAGE</t>
        </is>
      </c>
      <c r="F713" s="661" t="inlineStr">
        <is>
          <t>BUBBLE BAG 1250X200MM</t>
        </is>
      </c>
      <c r="G713" s="662" t="inlineStr">
        <is>
          <t>D</t>
        </is>
      </c>
      <c r="L713" s="663" t="e">
        <v>#REF!</v>
      </c>
    </row>
    <row r="714">
      <c r="B714" s="659" t="n">
        <v>403528</v>
      </c>
      <c r="C714" s="661" t="inlineStr">
        <is>
          <t>2063A</t>
        </is>
      </c>
      <c r="D714" s="661" t="inlineStr">
        <is>
          <t>YFY</t>
        </is>
      </c>
      <c r="E714" s="661" t="inlineStr">
        <is>
          <t>PKLN</t>
        </is>
      </c>
      <c r="F714" s="661" t="inlineStr">
        <is>
          <t>1 WALL CORRU CB 1035X265MM</t>
        </is>
      </c>
      <c r="G714" s="662" t="inlineStr">
        <is>
          <t>D</t>
        </is>
      </c>
      <c r="L714" s="663" t="e">
        <v>#REF!</v>
      </c>
    </row>
    <row r="715">
      <c r="B715" s="659" t="n">
        <v>403529</v>
      </c>
      <c r="C715" s="661" t="inlineStr">
        <is>
          <t>2063A</t>
        </is>
      </c>
      <c r="D715" s="661" t="inlineStr">
        <is>
          <t>YFY</t>
        </is>
      </c>
      <c r="E715" s="661" t="inlineStr">
        <is>
          <t>PKLN</t>
        </is>
      </c>
      <c r="F715" s="661" t="inlineStr">
        <is>
          <t>U 1 WALL CORRU CB 1290X270MM</t>
        </is>
      </c>
      <c r="G715" s="662" t="inlineStr">
        <is>
          <t>D</t>
        </is>
      </c>
      <c r="L715" s="663" t="e">
        <v>#REF!</v>
      </c>
    </row>
    <row r="716">
      <c r="B716" s="659" t="n">
        <v>403530</v>
      </c>
      <c r="C716" s="661" t="inlineStr">
        <is>
          <t>2047A</t>
        </is>
      </c>
      <c r="D716" s="661" t="inlineStr">
        <is>
          <t>NHU QUYNH</t>
        </is>
      </c>
      <c r="E716" s="661" t="inlineStr">
        <is>
          <t>RCT</t>
        </is>
      </c>
      <c r="F716" s="661" t="inlineStr">
        <is>
          <t>TELE-PN-850X610X240MM</t>
        </is>
      </c>
      <c r="G716" s="662" t="inlineStr">
        <is>
          <t>D</t>
        </is>
      </c>
      <c r="L716" s="663" t="e">
        <v>#REF!</v>
      </c>
    </row>
    <row r="717">
      <c r="B717" s="659" t="n">
        <v>403532</v>
      </c>
      <c r="C717" s="661" t="inlineStr">
        <is>
          <t>2047A</t>
        </is>
      </c>
      <c r="D717" s="661" t="inlineStr">
        <is>
          <t>NHU QUYNH</t>
        </is>
      </c>
      <c r="E717" s="661" t="inlineStr">
        <is>
          <t>RCT</t>
        </is>
      </c>
      <c r="F717" s="661" t="inlineStr">
        <is>
          <t>TELE-PN-965X430X165MM</t>
        </is>
      </c>
      <c r="G717" s="662" t="inlineStr">
        <is>
          <t>D</t>
        </is>
      </c>
      <c r="L717" s="663" t="e">
        <v>#REF!</v>
      </c>
    </row>
    <row r="718">
      <c r="B718" s="659" t="n">
        <v>403533</v>
      </c>
      <c r="C718" s="661" t="inlineStr">
        <is>
          <t>2047A</t>
        </is>
      </c>
      <c r="D718" s="661" t="inlineStr">
        <is>
          <t>NHU QUYNH</t>
        </is>
      </c>
      <c r="E718" s="661" t="inlineStr">
        <is>
          <t>RCT</t>
        </is>
      </c>
      <c r="F718" s="661" t="inlineStr">
        <is>
          <t>RSC-PN-1260X555X360MM</t>
        </is>
      </c>
      <c r="G718" s="662" t="inlineStr">
        <is>
          <t>D</t>
        </is>
      </c>
      <c r="L718" s="663" t="e">
        <v>#REF!</v>
      </c>
    </row>
    <row r="719">
      <c r="B719" s="659" t="n">
        <v>403534</v>
      </c>
      <c r="C719" s="661" t="inlineStr">
        <is>
          <t>2063A</t>
        </is>
      </c>
      <c r="D719" s="661" t="inlineStr">
        <is>
          <t>YFY</t>
        </is>
      </c>
      <c r="E719" s="661" t="inlineStr">
        <is>
          <t>PKLN</t>
        </is>
      </c>
      <c r="F719" s="661" t="inlineStr">
        <is>
          <t>U 1 WALL CORRU CB 1780X330MM</t>
        </is>
      </c>
      <c r="G719" s="662" t="inlineStr">
        <is>
          <t>D</t>
        </is>
      </c>
      <c r="L719" s="663" t="e">
        <v>#REF!</v>
      </c>
    </row>
    <row r="720">
      <c r="B720" s="659" t="n">
        <v>403535</v>
      </c>
      <c r="C720" s="661" t="inlineStr">
        <is>
          <t>2047A</t>
        </is>
      </c>
      <c r="D720" s="661" t="inlineStr">
        <is>
          <t>NHU QUYNH</t>
        </is>
      </c>
      <c r="E720" s="661" t="inlineStr">
        <is>
          <t>RCT</t>
        </is>
      </c>
      <c r="F720" s="661" t="inlineStr">
        <is>
          <t>RSC-PN-1045X280X300MM</t>
        </is>
      </c>
      <c r="G720" s="662" t="inlineStr">
        <is>
          <t>D</t>
        </is>
      </c>
      <c r="L720" s="663" t="e">
        <v>#REF!</v>
      </c>
    </row>
    <row r="721">
      <c r="B721" s="659" t="n">
        <v>403536</v>
      </c>
      <c r="C721" s="661" t="inlineStr">
        <is>
          <t>2047A</t>
        </is>
      </c>
      <c r="D721" s="661" t="inlineStr">
        <is>
          <t>NHU QUYNH</t>
        </is>
      </c>
      <c r="E721" s="661" t="inlineStr">
        <is>
          <t>RCT</t>
        </is>
      </c>
      <c r="F721" s="661" t="inlineStr">
        <is>
          <t>RSC-PN-495X420X250MM</t>
        </is>
      </c>
      <c r="G721" s="662" t="inlineStr">
        <is>
          <t>D</t>
        </is>
      </c>
      <c r="L721" s="663" t="e">
        <v>#REF!</v>
      </c>
    </row>
    <row r="722">
      <c r="B722" s="659" t="n">
        <v>403587</v>
      </c>
      <c r="C722" s="661" t="inlineStr">
        <is>
          <t>2047A</t>
        </is>
      </c>
      <c r="D722" s="661" t="inlineStr">
        <is>
          <t>NHU QUYNH</t>
        </is>
      </c>
      <c r="E722" s="661" t="inlineStr">
        <is>
          <t>RCT</t>
        </is>
      </c>
      <c r="F722" s="661" t="inlineStr">
        <is>
          <t>RSC-PN-1045X305X300MM</t>
        </is>
      </c>
      <c r="G722" s="662" t="inlineStr">
        <is>
          <t>D</t>
        </is>
      </c>
      <c r="L722" s="663" t="e">
        <v>#REF!</v>
      </c>
    </row>
    <row r="723">
      <c r="B723" s="659" t="n">
        <v>403588</v>
      </c>
      <c r="C723" s="661" t="inlineStr">
        <is>
          <t>2063A</t>
        </is>
      </c>
      <c r="D723" s="661" t="inlineStr">
        <is>
          <t>YFY</t>
        </is>
      </c>
      <c r="E723" s="661" t="inlineStr">
        <is>
          <t>PKLN</t>
        </is>
      </c>
      <c r="F723" s="661" t="inlineStr">
        <is>
          <t>1 WALL CORRU CB 1035X290MM</t>
        </is>
      </c>
      <c r="G723" s="662" t="inlineStr">
        <is>
          <t>D</t>
        </is>
      </c>
      <c r="L723" s="663" t="e">
        <v>#REF!</v>
      </c>
    </row>
    <row r="724">
      <c r="B724" s="659" t="n">
        <v>403589</v>
      </c>
      <c r="C724" s="661" t="inlineStr">
        <is>
          <t>2063A</t>
        </is>
      </c>
      <c r="D724" s="661" t="inlineStr">
        <is>
          <t>YFY</t>
        </is>
      </c>
      <c r="E724" s="661" t="inlineStr">
        <is>
          <t>PKLN</t>
        </is>
      </c>
      <c r="F724" s="661" t="inlineStr">
        <is>
          <t>U 1 WALL CORRU CB 1315X270MM</t>
        </is>
      </c>
      <c r="G724" s="662" t="inlineStr">
        <is>
          <t>D</t>
        </is>
      </c>
      <c r="L724" s="663" t="e">
        <v>#REF!</v>
      </c>
    </row>
    <row r="725">
      <c r="B725" s="659" t="n">
        <v>460001</v>
      </c>
      <c r="C725" s="661" t="inlineStr">
        <is>
          <t>2047A</t>
        </is>
      </c>
      <c r="D725" s="661" t="inlineStr">
        <is>
          <t>NHU QUYNH</t>
        </is>
      </c>
      <c r="E725" s="661" t="inlineStr">
        <is>
          <t>RCT</t>
        </is>
      </c>
      <c r="F725" s="661" t="inlineStr">
        <is>
          <t>TELE-UN-34.5X26.5X7.5INCH</t>
        </is>
      </c>
      <c r="G725" s="662" t="inlineStr">
        <is>
          <t>D</t>
        </is>
      </c>
      <c r="L725" s="663" t="e">
        <v>#REF!</v>
      </c>
    </row>
    <row r="726">
      <c r="B726" s="659" t="n">
        <v>460002</v>
      </c>
      <c r="C726" s="661" t="inlineStr">
        <is>
          <t>2047A</t>
        </is>
      </c>
      <c r="D726" s="661" t="inlineStr">
        <is>
          <t>NHU QUYNH</t>
        </is>
      </c>
      <c r="E726" s="661" t="inlineStr">
        <is>
          <t>RCT</t>
        </is>
      </c>
      <c r="F726" s="661" t="inlineStr">
        <is>
          <t>TELE-UN-27.5X26.5X11INCH</t>
        </is>
      </c>
      <c r="G726" s="662" t="inlineStr">
        <is>
          <t>D</t>
        </is>
      </c>
      <c r="L726" s="663" t="e">
        <v>#REF!</v>
      </c>
    </row>
    <row r="727">
      <c r="B727" s="659" t="n">
        <v>460003</v>
      </c>
      <c r="C727" s="661" t="inlineStr">
        <is>
          <t>2047A</t>
        </is>
      </c>
      <c r="D727" s="661" t="inlineStr">
        <is>
          <t>NHU QUYNH</t>
        </is>
      </c>
      <c r="E727" s="661" t="inlineStr">
        <is>
          <t>RCT</t>
        </is>
      </c>
      <c r="F727" s="661" t="inlineStr">
        <is>
          <t>TELE-UN-27.5X26.5X9.5INCH</t>
        </is>
      </c>
      <c r="G727" s="662" t="inlineStr">
        <is>
          <t>D</t>
        </is>
      </c>
      <c r="L727" s="663" t="e">
        <v>#REF!</v>
      </c>
    </row>
    <row r="728">
      <c r="B728" s="659" t="n">
        <v>460004</v>
      </c>
      <c r="C728" s="661" t="inlineStr">
        <is>
          <t>2060A</t>
        </is>
      </c>
      <c r="D728" s="661" t="inlineStr">
        <is>
          <t>DAI NGOC</t>
        </is>
      </c>
      <c r="E728" s="661" t="inlineStr">
        <is>
          <t>RCT</t>
        </is>
      </c>
      <c r="F728" s="661" t="inlineStr">
        <is>
          <t>TELE-UN-35X28.5X12INCH</t>
        </is>
      </c>
      <c r="G728" s="662" t="inlineStr">
        <is>
          <t>D</t>
        </is>
      </c>
      <c r="L728" s="663" t="e">
        <v>#REF!</v>
      </c>
    </row>
    <row r="729">
      <c r="B729" s="659" t="n">
        <v>460005</v>
      </c>
      <c r="C729" s="661" t="inlineStr">
        <is>
          <t>2062A</t>
        </is>
      </c>
      <c r="D729" s="661" t="inlineStr">
        <is>
          <t>TH. PHONG</t>
        </is>
      </c>
      <c r="E729" s="661" t="inlineStr">
        <is>
          <t>RCT</t>
        </is>
      </c>
      <c r="F729" s="661" t="inlineStr">
        <is>
          <t>RSC-UN-37X37X18INCH</t>
        </is>
      </c>
      <c r="G729" s="662" t="inlineStr">
        <is>
          <t>D</t>
        </is>
      </c>
      <c r="L729" s="663" t="e">
        <v>#REF!</v>
      </c>
    </row>
    <row r="730">
      <c r="B730" s="659" t="n">
        <v>460006</v>
      </c>
      <c r="C730" s="661" t="inlineStr">
        <is>
          <t>2063A</t>
        </is>
      </c>
      <c r="D730" s="661" t="inlineStr">
        <is>
          <t>YFY</t>
        </is>
      </c>
      <c r="E730" s="661" t="inlineStr">
        <is>
          <t>PKLN</t>
        </is>
      </c>
      <c r="F730" s="661" t="inlineStr">
        <is>
          <t>U 2 WALL CORRUGATE 1841X445 UN</t>
        </is>
      </c>
      <c r="G730" s="662" t="inlineStr">
        <is>
          <t>D</t>
        </is>
      </c>
      <c r="L730" s="663" t="e">
        <v>#REF!</v>
      </c>
    </row>
    <row r="731">
      <c r="B731" s="659" t="n">
        <v>570158</v>
      </c>
      <c r="C731" s="661" t="inlineStr">
        <is>
          <t>2048A</t>
        </is>
      </c>
      <c r="D731" s="661" t="inlineStr">
        <is>
          <t>VINH DUC</t>
        </is>
      </c>
      <c r="E731" s="661" t="inlineStr">
        <is>
          <t>MISN</t>
        </is>
      </c>
      <c r="F731" s="661" t="inlineStr">
        <is>
          <t>200X120X25MM ARM PANEL PACK</t>
        </is>
      </c>
      <c r="G731" s="662" t="inlineStr">
        <is>
          <t>D</t>
        </is>
      </c>
      <c r="L731" s="663" t="e">
        <v>#REF!</v>
      </c>
    </row>
    <row r="732">
      <c r="B732" s="659" t="n">
        <v>600765</v>
      </c>
      <c r="C732" s="661" t="inlineStr">
        <is>
          <t>2038A</t>
        </is>
      </c>
      <c r="D732" s="661" t="inlineStr">
        <is>
          <t>THUONGVIET</t>
        </is>
      </c>
      <c r="E732" s="661" t="inlineStr">
        <is>
          <t>LBL</t>
        </is>
      </c>
      <c r="F732" s="661" t="inlineStr">
        <is>
          <t>DURABLEND DECK LABEL 115X76MM</t>
        </is>
      </c>
      <c r="G732" s="662" t="inlineStr">
        <is>
          <t>D</t>
        </is>
      </c>
      <c r="L732" s="663" t="e">
        <v>#REF!</v>
      </c>
    </row>
    <row r="733">
      <c r="B733" s="659" t="n">
        <v>72123</v>
      </c>
      <c r="C733" s="661" t="inlineStr">
        <is>
          <t>2064A</t>
        </is>
      </c>
      <c r="D733" s="661" t="inlineStr">
        <is>
          <t>Q.TRUONG</t>
        </is>
      </c>
      <c r="E733" s="661" t="inlineStr">
        <is>
          <t>UEUS</t>
        </is>
      </c>
      <c r="F733" s="661" t="inlineStr">
        <is>
          <t>U-T-NUTS 5/16-18 NC.X5/8" LONG</t>
        </is>
      </c>
      <c r="G733" s="662" t="n"/>
      <c r="L733" s="663" t="e">
        <v>#REF!</v>
      </c>
    </row>
    <row r="734">
      <c r="B734" s="659" t="n">
        <v>73679</v>
      </c>
      <c r="C734" s="661" t="inlineStr">
        <is>
          <t>2101A</t>
        </is>
      </c>
      <c r="D734" s="661" t="inlineStr">
        <is>
          <t>Fortune</t>
        </is>
      </c>
      <c r="E734" s="661" t="inlineStr">
        <is>
          <t>MIS</t>
        </is>
      </c>
      <c r="F734" s="661" t="inlineStr">
        <is>
          <t>2" PRE-TIED STRINGS</t>
        </is>
      </c>
      <c r="G734" s="662" t="inlineStr">
        <is>
          <t>I</t>
        </is>
      </c>
      <c r="L734" s="663" t="e">
        <v>#REF!</v>
      </c>
    </row>
    <row r="735">
      <c r="B735" s="659" t="n">
        <v>74346</v>
      </c>
      <c r="C735" s="661" t="inlineStr">
        <is>
          <t>2049A</t>
        </is>
      </c>
      <c r="D735" s="661" t="inlineStr">
        <is>
          <t>HIEP THANH</t>
        </is>
      </c>
      <c r="E735" s="661" t="inlineStr">
        <is>
          <t>MISN</t>
        </is>
      </c>
      <c r="F735" s="661" t="inlineStr">
        <is>
          <t>SKIRT CARDBOARD 1X29.5INCH</t>
        </is>
      </c>
      <c r="G735" s="662" t="inlineStr">
        <is>
          <t>D</t>
        </is>
      </c>
      <c r="L735" s="663" t="e">
        <v>#REF!</v>
      </c>
    </row>
    <row r="736">
      <c r="B736" s="659" t="n">
        <v>74546</v>
      </c>
      <c r="C736" s="661" t="inlineStr">
        <is>
          <t>2073A</t>
        </is>
      </c>
      <c r="D736" s="661" t="inlineStr">
        <is>
          <t>MEDORI</t>
        </is>
      </c>
      <c r="E736" s="661" t="inlineStr">
        <is>
          <t>MIS</t>
        </is>
      </c>
      <c r="F736" s="661" t="inlineStr">
        <is>
          <t>U-BUTTON 2.5INPRETIEDSTRING</t>
        </is>
      </c>
      <c r="G736" s="662" t="inlineStr">
        <is>
          <t>D</t>
        </is>
      </c>
      <c r="L736" s="663" t="e">
        <v>#REF!</v>
      </c>
    </row>
    <row r="737">
      <c r="B737" s="659" t="n">
        <v>74771</v>
      </c>
      <c r="C737" s="661" t="inlineStr">
        <is>
          <t>2047A</t>
        </is>
      </c>
      <c r="D737" s="661" t="inlineStr">
        <is>
          <t>NHU QUYNH</t>
        </is>
      </c>
      <c r="E737" s="661" t="inlineStr">
        <is>
          <t>RCT</t>
        </is>
      </c>
      <c r="F737" s="661" t="inlineStr">
        <is>
          <t>Tele-Un-35.75x25.75x5.75inch</t>
        </is>
      </c>
      <c r="G737" s="662" t="inlineStr">
        <is>
          <t>D</t>
        </is>
      </c>
      <c r="L737" s="663" t="e">
        <v>#REF!</v>
      </c>
    </row>
    <row r="738">
      <c r="B738" s="659" t="n">
        <v>74772</v>
      </c>
      <c r="C738" s="661" t="inlineStr">
        <is>
          <t>2060A</t>
        </is>
      </c>
      <c r="D738" s="661" t="inlineStr">
        <is>
          <t>DAI NGOC</t>
        </is>
      </c>
      <c r="E738" s="661" t="inlineStr">
        <is>
          <t>RCT</t>
        </is>
      </c>
      <c r="F738" s="661" t="inlineStr">
        <is>
          <t>Tele-Un-38.75x33.25x6inch</t>
        </is>
      </c>
      <c r="G738" s="662" t="inlineStr">
        <is>
          <t>D</t>
        </is>
      </c>
      <c r="L738" s="663" t="e">
        <v>#REF!</v>
      </c>
    </row>
    <row r="739">
      <c r="B739" s="659" t="n">
        <v>74774</v>
      </c>
      <c r="C739" s="661" t="inlineStr">
        <is>
          <t>2060A</t>
        </is>
      </c>
      <c r="D739" s="661" t="inlineStr">
        <is>
          <t>DAI NGOC</t>
        </is>
      </c>
      <c r="E739" s="661" t="inlineStr">
        <is>
          <t>RCT</t>
        </is>
      </c>
      <c r="F739" s="661" t="inlineStr">
        <is>
          <t>Tele-Un-43.75x33.25x5.25inch</t>
        </is>
      </c>
      <c r="G739" s="662" t="inlineStr">
        <is>
          <t>D</t>
        </is>
      </c>
      <c r="L739" s="663" t="e">
        <v>#REF!</v>
      </c>
    </row>
    <row r="740">
      <c r="B740" s="659" t="n">
        <v>74775</v>
      </c>
      <c r="C740" s="661" t="inlineStr">
        <is>
          <t>2047A</t>
        </is>
      </c>
      <c r="D740" s="661" t="inlineStr">
        <is>
          <t>NHU QUYNH</t>
        </is>
      </c>
      <c r="E740" s="661" t="inlineStr">
        <is>
          <t>RCT</t>
        </is>
      </c>
      <c r="F740" s="661" t="inlineStr">
        <is>
          <t>Tele-Un-30x28.5x6inch</t>
        </is>
      </c>
      <c r="G740" s="662" t="inlineStr">
        <is>
          <t>D</t>
        </is>
      </c>
      <c r="L740" s="663" t="e">
        <v>#REF!</v>
      </c>
    </row>
    <row r="741">
      <c r="B741" s="659" t="n">
        <v>74776</v>
      </c>
      <c r="C741" s="661" t="inlineStr">
        <is>
          <t>2047A</t>
        </is>
      </c>
      <c r="D741" s="661" t="inlineStr">
        <is>
          <t>NHU QUYNH</t>
        </is>
      </c>
      <c r="E741" s="661" t="inlineStr">
        <is>
          <t>RCT</t>
        </is>
      </c>
      <c r="F741" s="661" t="inlineStr">
        <is>
          <t>Tele-Un-30x28.5x8.5inch</t>
        </is>
      </c>
      <c r="G741" s="662" t="inlineStr">
        <is>
          <t>D</t>
        </is>
      </c>
      <c r="L741" s="663" t="e">
        <v>#REF!</v>
      </c>
    </row>
    <row r="742">
      <c r="B742" s="659" t="n">
        <v>74777</v>
      </c>
      <c r="C742" s="661" t="inlineStr">
        <is>
          <t>2060A</t>
        </is>
      </c>
      <c r="D742" s="661" t="inlineStr">
        <is>
          <t>DAI NGOC</t>
        </is>
      </c>
      <c r="E742" s="661" t="inlineStr">
        <is>
          <t>RCT</t>
        </is>
      </c>
      <c r="F742" s="661" t="inlineStr">
        <is>
          <t>Tele-Un-30x28.5x7inch</t>
        </is>
      </c>
      <c r="G742" s="662" t="inlineStr">
        <is>
          <t>D</t>
        </is>
      </c>
      <c r="L742" s="663" t="e">
        <v>#REF!</v>
      </c>
    </row>
    <row r="743">
      <c r="B743" s="659" t="n">
        <v>74778</v>
      </c>
      <c r="C743" s="661" t="inlineStr">
        <is>
          <t>2060A</t>
        </is>
      </c>
      <c r="D743" s="661" t="inlineStr">
        <is>
          <t>DAI NGOC</t>
        </is>
      </c>
      <c r="E743" s="661" t="inlineStr">
        <is>
          <t>RCT</t>
        </is>
      </c>
      <c r="F743" s="661" t="inlineStr">
        <is>
          <t>Tele-Un-37x28.5x6inch</t>
        </is>
      </c>
      <c r="G743" s="662" t="inlineStr">
        <is>
          <t>D</t>
        </is>
      </c>
      <c r="L743" s="663" t="e">
        <v>#REF!</v>
      </c>
    </row>
    <row r="744">
      <c r="B744" s="659" t="inlineStr">
        <is>
          <t>74778H</t>
        </is>
      </c>
      <c r="C744" s="661" t="inlineStr">
        <is>
          <t>2015A</t>
        </is>
      </c>
      <c r="D744" s="661" t="inlineStr">
        <is>
          <t>CHANH NAM</t>
        </is>
      </c>
      <c r="E744" s="661" t="inlineStr">
        <is>
          <t>RCT</t>
        </is>
      </c>
      <c r="F744" s="661" t="inlineStr">
        <is>
          <t>Tele-Un-37x28.5x6inch H</t>
        </is>
      </c>
      <c r="G744" s="662" t="inlineStr">
        <is>
          <t>D</t>
        </is>
      </c>
      <c r="L744" s="663" t="e">
        <v>#REF!</v>
      </c>
    </row>
    <row r="745">
      <c r="B745" s="659" t="n">
        <v>74779</v>
      </c>
      <c r="C745" s="661" t="inlineStr">
        <is>
          <t>3A</t>
        </is>
      </c>
      <c r="D745" s="661" t="inlineStr">
        <is>
          <t>Wanvog</t>
        </is>
      </c>
      <c r="E745" s="661" t="inlineStr">
        <is>
          <t>MISN</t>
        </is>
      </c>
      <c r="F745" s="661" t="inlineStr">
        <is>
          <t>DESICCANT</t>
        </is>
      </c>
      <c r="G745" s="662" t="inlineStr">
        <is>
          <t>I</t>
        </is>
      </c>
      <c r="H745" s="664" t="n">
        <v>1022</v>
      </c>
      <c r="I745" s="665" t="n">
        <v>0.0201</v>
      </c>
      <c r="J745" s="666" t="inlineStr">
        <is>
          <t>EA</t>
        </is>
      </c>
      <c r="L745" s="663" t="e">
        <v>#REF!</v>
      </c>
    </row>
    <row r="746">
      <c r="B746" s="659" t="n">
        <v>74781</v>
      </c>
      <c r="C746" s="661" t="inlineStr">
        <is>
          <t>2038A</t>
        </is>
      </c>
      <c r="D746" s="661" t="inlineStr">
        <is>
          <t>THUONGVIET</t>
        </is>
      </c>
      <c r="E746" s="661" t="inlineStr">
        <is>
          <t>MISN</t>
        </is>
      </c>
      <c r="F746" s="661" t="inlineStr">
        <is>
          <t>LEG LABEL 1"X3"</t>
        </is>
      </c>
      <c r="G746" s="662" t="inlineStr">
        <is>
          <t>D</t>
        </is>
      </c>
      <c r="L746" s="663" t="e">
        <v>#REF!</v>
      </c>
    </row>
    <row r="747">
      <c r="B747" s="659" t="n">
        <v>75130</v>
      </c>
      <c r="C747" s="661" t="inlineStr">
        <is>
          <t>2073A</t>
        </is>
      </c>
      <c r="D747" s="661" t="inlineStr">
        <is>
          <t>MEDORI</t>
        </is>
      </c>
      <c r="E747" s="661" t="inlineStr">
        <is>
          <t>MIS</t>
        </is>
      </c>
      <c r="F747" s="661" t="inlineStr">
        <is>
          <t>BUTTON STRING 5 INCH PRETIED</t>
        </is>
      </c>
      <c r="G747" s="662" t="inlineStr">
        <is>
          <t>D</t>
        </is>
      </c>
      <c r="L747" s="663" t="e">
        <v>#REF!</v>
      </c>
    </row>
    <row r="748">
      <c r="B748" s="659" t="n">
        <v>75348</v>
      </c>
      <c r="C748" s="661" t="inlineStr">
        <is>
          <t>3A</t>
        </is>
      </c>
      <c r="D748" s="661" t="inlineStr">
        <is>
          <t>Wanvog</t>
        </is>
      </c>
      <c r="E748" s="661" t="inlineStr">
        <is>
          <t>UEUS</t>
        </is>
      </c>
      <c r="F748" s="661" t="inlineStr">
        <is>
          <t>T-NUT 1/4-20X3/8 BARREL</t>
        </is>
      </c>
      <c r="G748" s="662" t="inlineStr">
        <is>
          <t>I</t>
        </is>
      </c>
      <c r="H748" s="664" t="n">
        <v>1050</v>
      </c>
      <c r="I748" s="665" t="n">
        <v>0.0275</v>
      </c>
      <c r="J748" s="666" t="inlineStr">
        <is>
          <t>EA</t>
        </is>
      </c>
      <c r="L748" s="663" t="e">
        <v>#REF!</v>
      </c>
    </row>
    <row r="749">
      <c r="B749" s="659" t="n">
        <v>76786</v>
      </c>
      <c r="C749" s="661" t="inlineStr">
        <is>
          <t>2038A</t>
        </is>
      </c>
      <c r="D749" s="661" t="inlineStr">
        <is>
          <t>THUONGVIET</t>
        </is>
      </c>
      <c r="E749" s="661" t="inlineStr">
        <is>
          <t>LBL</t>
        </is>
      </c>
      <c r="F749" s="661" t="inlineStr">
        <is>
          <t>DURABLEND LABEL</t>
        </is>
      </c>
      <c r="G749" s="662" t="inlineStr">
        <is>
          <t>D</t>
        </is>
      </c>
      <c r="L749" s="663" t="e">
        <v>#REF!</v>
      </c>
    </row>
    <row r="750">
      <c r="B750" s="659" t="n">
        <v>76922</v>
      </c>
      <c r="C750" s="661" t="inlineStr">
        <is>
          <t>3A</t>
        </is>
      </c>
      <c r="D750" s="661" t="inlineStr">
        <is>
          <t>Wanvog</t>
        </is>
      </c>
      <c r="E750" s="661" t="inlineStr">
        <is>
          <t>WPLS</t>
        </is>
      </c>
      <c r="F750" s="661" t="inlineStr">
        <is>
          <t>BUTTON TUFTING PADDLE</t>
        </is>
      </c>
      <c r="G750" s="662" t="inlineStr">
        <is>
          <t>I</t>
        </is>
      </c>
      <c r="H750" s="664" t="n">
        <v>1036</v>
      </c>
      <c r="I750" s="665" t="n">
        <v>0.0297</v>
      </c>
      <c r="J750" s="666" t="inlineStr">
        <is>
          <t>EA</t>
        </is>
      </c>
      <c r="L750" s="663" t="e">
        <v>#REF!</v>
      </c>
    </row>
    <row r="751">
      <c r="B751" s="659" t="n">
        <v>79006</v>
      </c>
      <c r="C751" s="661" t="inlineStr">
        <is>
          <t>2053A</t>
        </is>
      </c>
      <c r="D751" s="661" t="inlineStr">
        <is>
          <t>A&amp;E</t>
        </is>
      </c>
      <c r="E751" s="661" t="inlineStr">
        <is>
          <t>RTH</t>
        </is>
      </c>
      <c r="F751" s="661" t="inlineStr">
        <is>
          <t>Thread-BonNy Ns057 Tex70</t>
        </is>
      </c>
      <c r="G751" s="662" t="inlineStr">
        <is>
          <t>D</t>
        </is>
      </c>
      <c r="L751" s="663" t="e">
        <v>#REF!</v>
      </c>
    </row>
    <row r="752">
      <c r="B752" s="659" t="n">
        <v>79008</v>
      </c>
      <c r="C752" s="661" t="inlineStr">
        <is>
          <t>2053A</t>
        </is>
      </c>
      <c r="D752" s="661" t="inlineStr">
        <is>
          <t>A&amp;E</t>
        </is>
      </c>
      <c r="E752" s="661" t="inlineStr">
        <is>
          <t>RTH</t>
        </is>
      </c>
      <c r="F752" s="661" t="inlineStr">
        <is>
          <t>THREAD-BONNY BLACK TEX70,6KM/R</t>
        </is>
      </c>
      <c r="G752" s="662" t="inlineStr">
        <is>
          <t>D</t>
        </is>
      </c>
      <c r="H752" s="664" t="n">
        <v>1008</v>
      </c>
      <c r="I752" s="665" t="n">
        <v>1.12</v>
      </c>
      <c r="J752" s="666" t="inlineStr">
        <is>
          <t>KM</t>
        </is>
      </c>
      <c r="L752" s="663" t="e">
        <v>#REF!</v>
      </c>
    </row>
    <row r="753">
      <c r="B753" s="659" t="n">
        <v>79013</v>
      </c>
      <c r="C753" s="661" t="inlineStr">
        <is>
          <t>2060A</t>
        </is>
      </c>
      <c r="D753" s="661" t="inlineStr">
        <is>
          <t>DAI NGOC</t>
        </is>
      </c>
      <c r="E753" s="661" t="inlineStr">
        <is>
          <t>RCT</t>
        </is>
      </c>
      <c r="F753" s="661" t="inlineStr">
        <is>
          <t>Tele-Un-30x28.5x5inch</t>
        </is>
      </c>
      <c r="G753" s="662" t="inlineStr">
        <is>
          <t>D</t>
        </is>
      </c>
      <c r="L753" s="663" t="e">
        <v>#REF!</v>
      </c>
    </row>
    <row r="754">
      <c r="B754" s="659" t="inlineStr">
        <is>
          <t>79013H</t>
        </is>
      </c>
      <c r="C754" s="661" t="inlineStr">
        <is>
          <t>2015A</t>
        </is>
      </c>
      <c r="D754" s="661" t="inlineStr">
        <is>
          <t>CHANH NAM</t>
        </is>
      </c>
      <c r="E754" s="661" t="inlineStr">
        <is>
          <t>RCT</t>
        </is>
      </c>
      <c r="F754" s="661" t="inlineStr">
        <is>
          <t>Tele-Un-30x28.5x5inch H</t>
        </is>
      </c>
      <c r="G754" s="662" t="inlineStr">
        <is>
          <t>D</t>
        </is>
      </c>
      <c r="L754" s="663" t="e">
        <v>#REF!</v>
      </c>
    </row>
    <row r="755">
      <c r="B755" s="659" t="n">
        <v>79051</v>
      </c>
      <c r="C755" s="661" t="inlineStr">
        <is>
          <t>2053A</t>
        </is>
      </c>
      <c r="D755" s="661" t="inlineStr">
        <is>
          <t>A&amp;E</t>
        </is>
      </c>
      <c r="E755" s="661" t="inlineStr">
        <is>
          <t>RTH</t>
        </is>
      </c>
      <c r="F755" s="661" t="inlineStr">
        <is>
          <t>THREAD-BONNY NN003 TEX70</t>
        </is>
      </c>
      <c r="G755" s="662" t="inlineStr">
        <is>
          <t>D</t>
        </is>
      </c>
      <c r="L755" s="663" t="e">
        <v>#REF!</v>
      </c>
    </row>
    <row r="756">
      <c r="B756" s="659" t="n">
        <v>79063</v>
      </c>
      <c r="C756" s="661" t="inlineStr">
        <is>
          <t>2060A</t>
        </is>
      </c>
      <c r="D756" s="661" t="inlineStr">
        <is>
          <t>DAI NGOC</t>
        </is>
      </c>
      <c r="E756" s="661" t="inlineStr">
        <is>
          <t>RCT</t>
        </is>
      </c>
      <c r="F756" s="661" t="inlineStr">
        <is>
          <t>TELE-UN-25X21X5INCH</t>
        </is>
      </c>
      <c r="G756" s="662" t="inlineStr">
        <is>
          <t>D</t>
        </is>
      </c>
      <c r="L756" s="663" t="e">
        <v>#REF!</v>
      </c>
    </row>
    <row r="757">
      <c r="B757" s="659" t="n">
        <v>79103</v>
      </c>
      <c r="C757" s="661" t="inlineStr">
        <is>
          <t>2053A</t>
        </is>
      </c>
      <c r="D757" s="661" t="inlineStr">
        <is>
          <t>A&amp;E</t>
        </is>
      </c>
      <c r="E757" s="661" t="inlineStr">
        <is>
          <t>RTH</t>
        </is>
      </c>
      <c r="F757" s="661" t="inlineStr">
        <is>
          <t>Thread-BonNy Black Tex135</t>
        </is>
      </c>
      <c r="G757" s="662" t="inlineStr">
        <is>
          <t>D</t>
        </is>
      </c>
      <c r="H757" s="664" t="n">
        <v>1008</v>
      </c>
      <c r="I757" s="665" t="n">
        <v>2.38</v>
      </c>
      <c r="J757" s="666" t="inlineStr">
        <is>
          <t>KM</t>
        </is>
      </c>
      <c r="L757" s="663" t="e">
        <v>#REF!</v>
      </c>
    </row>
    <row r="758">
      <c r="B758" s="659" t="n">
        <v>79147</v>
      </c>
      <c r="C758" s="661" t="inlineStr">
        <is>
          <t>2060A</t>
        </is>
      </c>
      <c r="D758" s="661" t="inlineStr">
        <is>
          <t>DAI NGOC</t>
        </is>
      </c>
      <c r="E758" s="661" t="inlineStr">
        <is>
          <t>RCT</t>
        </is>
      </c>
      <c r="F758" s="661" t="inlineStr">
        <is>
          <t>Tele-Un-30x28.5x10inch</t>
        </is>
      </c>
      <c r="G758" s="662" t="inlineStr">
        <is>
          <t>D</t>
        </is>
      </c>
      <c r="L758" s="663" t="e">
        <v>#REF!</v>
      </c>
    </row>
    <row r="759">
      <c r="B759" s="659" t="inlineStr">
        <is>
          <t>79147H</t>
        </is>
      </c>
      <c r="C759" s="661" t="inlineStr">
        <is>
          <t>2015A</t>
        </is>
      </c>
      <c r="D759" s="661" t="inlineStr">
        <is>
          <t>CHANH NAM</t>
        </is>
      </c>
      <c r="E759" s="661" t="inlineStr">
        <is>
          <t>RCT</t>
        </is>
      </c>
      <c r="F759" s="661" t="inlineStr">
        <is>
          <t>Tele-Un-30x28.5x10inch H</t>
        </is>
      </c>
      <c r="G759" s="662" t="inlineStr">
        <is>
          <t>D</t>
        </is>
      </c>
      <c r="L759" s="663" t="e">
        <v>#REF!</v>
      </c>
    </row>
    <row r="760">
      <c r="B760" s="659" t="n">
        <v>79148</v>
      </c>
      <c r="C760" s="661" t="inlineStr">
        <is>
          <t>2060A</t>
        </is>
      </c>
      <c r="D760" s="661" t="inlineStr">
        <is>
          <t>DAI NGOC</t>
        </is>
      </c>
      <c r="E760" s="661" t="inlineStr">
        <is>
          <t>RCT</t>
        </is>
      </c>
      <c r="F760" s="661" t="inlineStr">
        <is>
          <t>Tele-Un-30x28.5x12inch</t>
        </is>
      </c>
      <c r="G760" s="662" t="inlineStr">
        <is>
          <t>D</t>
        </is>
      </c>
      <c r="L760" s="663" t="e">
        <v>#REF!</v>
      </c>
    </row>
    <row r="761">
      <c r="B761" s="659" t="inlineStr">
        <is>
          <t>79148H</t>
        </is>
      </c>
      <c r="C761" s="661" t="inlineStr">
        <is>
          <t>2015A</t>
        </is>
      </c>
      <c r="D761" s="661" t="inlineStr">
        <is>
          <t>CHANH NAM</t>
        </is>
      </c>
      <c r="E761" s="661" t="inlineStr">
        <is>
          <t>RCT</t>
        </is>
      </c>
      <c r="F761" s="661" t="inlineStr">
        <is>
          <t>Tele-Un-30x28.5x12inch H</t>
        </is>
      </c>
      <c r="G761" s="662" t="inlineStr">
        <is>
          <t>D</t>
        </is>
      </c>
      <c r="L761" s="663" t="e">
        <v>#REF!</v>
      </c>
    </row>
    <row r="762">
      <c r="B762" s="659" t="n">
        <v>79158</v>
      </c>
      <c r="C762" s="661" t="inlineStr">
        <is>
          <t>2060A</t>
        </is>
      </c>
      <c r="D762" s="661" t="inlineStr">
        <is>
          <t>DAI NGOC</t>
        </is>
      </c>
      <c r="E762" s="661" t="inlineStr">
        <is>
          <t>RCT</t>
        </is>
      </c>
      <c r="F762" s="661" t="inlineStr">
        <is>
          <t>Tele-Un-37x28.5x8inch</t>
        </is>
      </c>
      <c r="G762" s="662" t="inlineStr">
        <is>
          <t>D</t>
        </is>
      </c>
      <c r="L762" s="663" t="e">
        <v>#REF!</v>
      </c>
    </row>
    <row r="763">
      <c r="B763" s="659" t="inlineStr">
        <is>
          <t>79158H</t>
        </is>
      </c>
      <c r="C763" s="661" t="inlineStr">
        <is>
          <t>2015A</t>
        </is>
      </c>
      <c r="D763" s="661" t="inlineStr">
        <is>
          <t>CHANH NAM</t>
        </is>
      </c>
      <c r="E763" s="661" t="inlineStr">
        <is>
          <t>RCT</t>
        </is>
      </c>
      <c r="F763" s="661" t="inlineStr">
        <is>
          <t>Tele-Un-37x28.5x8inch H</t>
        </is>
      </c>
      <c r="G763" s="662" t="inlineStr">
        <is>
          <t>D</t>
        </is>
      </c>
      <c r="L763" s="663" t="e">
        <v>#REF!</v>
      </c>
    </row>
    <row r="764">
      <c r="B764" s="659" t="n">
        <v>79222</v>
      </c>
      <c r="C764" s="661" t="inlineStr">
        <is>
          <t>2053A</t>
        </is>
      </c>
      <c r="D764" s="661" t="inlineStr">
        <is>
          <t>A&amp;E</t>
        </is>
      </c>
      <c r="E764" s="661" t="inlineStr">
        <is>
          <t>RTH</t>
        </is>
      </c>
      <c r="F764" s="661" t="inlineStr">
        <is>
          <t>THREAD-BONNY 12061 TEX70</t>
        </is>
      </c>
      <c r="G764" s="662" t="inlineStr">
        <is>
          <t>D</t>
        </is>
      </c>
      <c r="L764" s="663" t="e">
        <v>#REF!</v>
      </c>
    </row>
    <row r="765">
      <c r="B765" s="659" t="n">
        <v>79223</v>
      </c>
      <c r="C765" s="661" t="inlineStr">
        <is>
          <t>2053A</t>
        </is>
      </c>
      <c r="D765" s="661" t="inlineStr">
        <is>
          <t>A&amp;E</t>
        </is>
      </c>
      <c r="E765" s="661" t="inlineStr">
        <is>
          <t>RTH</t>
        </is>
      </c>
      <c r="F765" s="661" t="inlineStr">
        <is>
          <t>THREAD-BONNY NS064A  TEX135</t>
        </is>
      </c>
      <c r="G765" s="662" t="inlineStr">
        <is>
          <t>D</t>
        </is>
      </c>
      <c r="L765" s="663" t="e">
        <v>#REF!</v>
      </c>
    </row>
    <row r="766">
      <c r="B766" s="659" t="n">
        <v>79236</v>
      </c>
      <c r="C766" s="661" t="inlineStr">
        <is>
          <t>2047A</t>
        </is>
      </c>
      <c r="D766" s="661" t="inlineStr">
        <is>
          <t>NHU QUYNH</t>
        </is>
      </c>
      <c r="E766" s="661" t="inlineStr">
        <is>
          <t>RCT</t>
        </is>
      </c>
      <c r="F766" s="661" t="inlineStr">
        <is>
          <t>Tele-Un-37x28.5x10inch</t>
        </is>
      </c>
      <c r="G766" s="662" t="inlineStr">
        <is>
          <t>D</t>
        </is>
      </c>
      <c r="L766" s="663" t="e">
        <v>#REF!</v>
      </c>
    </row>
    <row r="767">
      <c r="B767" s="659" t="inlineStr">
        <is>
          <t>79236H</t>
        </is>
      </c>
      <c r="C767" s="661" t="inlineStr">
        <is>
          <t>2015A</t>
        </is>
      </c>
      <c r="D767" s="661" t="inlineStr">
        <is>
          <t>CHANH NAM</t>
        </is>
      </c>
      <c r="E767" s="661" t="inlineStr">
        <is>
          <t>RCT</t>
        </is>
      </c>
      <c r="F767" s="661" t="inlineStr">
        <is>
          <t>Tele-Un-37x28.5x10inch H</t>
        </is>
      </c>
      <c r="G767" s="662" t="inlineStr">
        <is>
          <t>D</t>
        </is>
      </c>
      <c r="L767" s="663" t="e">
        <v>#REF!</v>
      </c>
    </row>
    <row r="768">
      <c r="B768" s="659" t="n">
        <v>79253</v>
      </c>
      <c r="C768" s="661" t="inlineStr">
        <is>
          <t>2053A</t>
        </is>
      </c>
      <c r="D768" s="661" t="inlineStr">
        <is>
          <t>A&amp;E</t>
        </is>
      </c>
      <c r="E768" s="661" t="inlineStr">
        <is>
          <t>RTH</t>
        </is>
      </c>
      <c r="F768" s="661" t="inlineStr">
        <is>
          <t>THREAD-BONNY NU042B TEX70</t>
        </is>
      </c>
      <c r="G768" s="662" t="inlineStr">
        <is>
          <t>D</t>
        </is>
      </c>
      <c r="L768" s="663" t="e">
        <v>#REF!</v>
      </c>
    </row>
    <row r="769">
      <c r="B769" s="659" t="n">
        <v>79255</v>
      </c>
      <c r="C769" s="661" t="inlineStr">
        <is>
          <t>2053A</t>
        </is>
      </c>
      <c r="D769" s="661" t="inlineStr">
        <is>
          <t>A&amp;E</t>
        </is>
      </c>
      <c r="E769" s="661" t="inlineStr">
        <is>
          <t>RTH</t>
        </is>
      </c>
      <c r="F769" s="661" t="inlineStr">
        <is>
          <t>THREAD-BONNY 35103 TEX70,6KM/R</t>
        </is>
      </c>
      <c r="G769" s="662" t="inlineStr">
        <is>
          <t>D</t>
        </is>
      </c>
      <c r="H769" s="664" t="n">
        <v>1008</v>
      </c>
      <c r="I769" s="665" t="n">
        <v>1.15</v>
      </c>
      <c r="J769" s="666" t="inlineStr">
        <is>
          <t>KM</t>
        </is>
      </c>
      <c r="L769" s="663" t="e">
        <v>#REF!</v>
      </c>
    </row>
    <row r="770">
      <c r="B770" s="659" t="n">
        <v>79256</v>
      </c>
      <c r="C770" s="661" t="inlineStr">
        <is>
          <t>2053A</t>
        </is>
      </c>
      <c r="D770" s="661" t="inlineStr">
        <is>
          <t>A&amp;E</t>
        </is>
      </c>
      <c r="E770" s="661" t="inlineStr">
        <is>
          <t>RTH</t>
        </is>
      </c>
      <c r="F770" s="661" t="inlineStr">
        <is>
          <t>THREAD-BONNY 35103 TEX135</t>
        </is>
      </c>
      <c r="G770" s="662" t="inlineStr">
        <is>
          <t>D</t>
        </is>
      </c>
      <c r="H770" s="664" t="n">
        <v>1008</v>
      </c>
      <c r="I770" s="665" t="n">
        <v>2.47</v>
      </c>
      <c r="J770" s="666" t="inlineStr">
        <is>
          <t>KM</t>
        </is>
      </c>
      <c r="L770" s="663" t="e">
        <v>#REF!</v>
      </c>
    </row>
    <row r="771">
      <c r="B771" s="659" t="n">
        <v>79267</v>
      </c>
      <c r="C771" s="661" t="inlineStr">
        <is>
          <t>2047A</t>
        </is>
      </c>
      <c r="D771" s="661" t="inlineStr">
        <is>
          <t>NHU QUYNH</t>
        </is>
      </c>
      <c r="E771" s="661" t="inlineStr">
        <is>
          <t>RCT</t>
        </is>
      </c>
      <c r="F771" s="661" t="inlineStr">
        <is>
          <t>Tele-Un-37x28.5x14inch</t>
        </is>
      </c>
      <c r="G771" s="662" t="inlineStr">
        <is>
          <t>D</t>
        </is>
      </c>
      <c r="L771" s="663" t="e">
        <v>#REF!</v>
      </c>
    </row>
    <row r="772">
      <c r="B772" s="659" t="n">
        <v>79329</v>
      </c>
      <c r="C772" s="661" t="inlineStr">
        <is>
          <t>2049A</t>
        </is>
      </c>
      <c r="D772" s="661" t="inlineStr">
        <is>
          <t>HIEP THANH</t>
        </is>
      </c>
      <c r="E772" s="661" t="inlineStr">
        <is>
          <t>MISN</t>
        </is>
      </c>
      <c r="F772" s="661" t="inlineStr">
        <is>
          <t>SKIRT CARDBOARD 1X22.5INCH</t>
        </is>
      </c>
      <c r="G772" s="662" t="inlineStr">
        <is>
          <t>D</t>
        </is>
      </c>
      <c r="L772" s="663" t="e">
        <v>#REF!</v>
      </c>
    </row>
    <row r="773">
      <c r="B773" s="659" t="n">
        <v>79331</v>
      </c>
      <c r="C773" s="661" t="inlineStr">
        <is>
          <t>2036A</t>
        </is>
      </c>
      <c r="D773" s="661" t="inlineStr">
        <is>
          <t>TIEN THANH</t>
        </is>
      </c>
      <c r="E773" s="661" t="inlineStr">
        <is>
          <t>BAGE</t>
        </is>
      </c>
      <c r="F773" s="661" t="inlineStr">
        <is>
          <t>PLASTIC BAG 34*48 INCH</t>
        </is>
      </c>
      <c r="G773" s="662" t="inlineStr">
        <is>
          <t>D</t>
        </is>
      </c>
      <c r="L773" s="663" t="e">
        <v>#REF!</v>
      </c>
    </row>
    <row r="774">
      <c r="B774" s="659" t="n">
        <v>79336</v>
      </c>
      <c r="C774" s="661" t="inlineStr">
        <is>
          <t>2101A</t>
        </is>
      </c>
      <c r="D774" s="661" t="inlineStr">
        <is>
          <t>Fortune</t>
        </is>
      </c>
      <c r="E774" s="661" t="inlineStr">
        <is>
          <t>MISN</t>
        </is>
      </c>
      <c r="F774" s="661" t="inlineStr">
        <is>
          <t>SWATCH CARD-9*13INCH RECTANGLE</t>
        </is>
      </c>
      <c r="G774" s="662" t="inlineStr">
        <is>
          <t>I</t>
        </is>
      </c>
      <c r="L774" s="663" t="e">
        <v>#REF!</v>
      </c>
    </row>
    <row r="775">
      <c r="B775" s="659" t="n">
        <v>79385</v>
      </c>
      <c r="C775" s="661" t="inlineStr">
        <is>
          <t>2053A</t>
        </is>
      </c>
      <c r="D775" s="661" t="inlineStr">
        <is>
          <t>A&amp;E</t>
        </is>
      </c>
      <c r="E775" s="661" t="inlineStr">
        <is>
          <t>RTH</t>
        </is>
      </c>
      <c r="F775" s="661" t="inlineStr">
        <is>
          <t>THREAD-BONNY NT0226A TEX135</t>
        </is>
      </c>
      <c r="G775" s="662" t="inlineStr">
        <is>
          <t>D</t>
        </is>
      </c>
      <c r="L775" s="663" t="e">
        <v>#REF!</v>
      </c>
    </row>
    <row r="776">
      <c r="B776" s="659" t="n">
        <v>79389</v>
      </c>
      <c r="C776" s="661" t="inlineStr">
        <is>
          <t>2053A</t>
        </is>
      </c>
      <c r="D776" s="661" t="inlineStr">
        <is>
          <t>A&amp;E</t>
        </is>
      </c>
      <c r="E776" s="661" t="inlineStr">
        <is>
          <t>RTH</t>
        </is>
      </c>
      <c r="F776" s="661" t="inlineStr">
        <is>
          <t>Thread-BonNy Nu044 Tex135</t>
        </is>
      </c>
      <c r="G776" s="662" t="inlineStr">
        <is>
          <t>D</t>
        </is>
      </c>
      <c r="L776" s="663" t="e">
        <v>#REF!</v>
      </c>
    </row>
    <row r="777">
      <c r="B777" s="659" t="n">
        <v>79390</v>
      </c>
      <c r="C777" s="661" t="inlineStr">
        <is>
          <t>2053A</t>
        </is>
      </c>
      <c r="D777" s="661" t="inlineStr">
        <is>
          <t>A&amp;E</t>
        </is>
      </c>
      <c r="E777" s="661" t="inlineStr">
        <is>
          <t>RTH</t>
        </is>
      </c>
      <c r="F777" s="661" t="inlineStr">
        <is>
          <t>THREAD-BONNY NU044 TEX70</t>
        </is>
      </c>
      <c r="G777" s="662" t="inlineStr">
        <is>
          <t>D</t>
        </is>
      </c>
      <c r="L777" s="663" t="e">
        <v>#REF!</v>
      </c>
    </row>
    <row r="778">
      <c r="B778" s="659" t="n">
        <v>79391</v>
      </c>
      <c r="C778" s="661" t="inlineStr">
        <is>
          <t>2053A</t>
        </is>
      </c>
      <c r="D778" s="661" t="inlineStr">
        <is>
          <t>A&amp;E</t>
        </is>
      </c>
      <c r="E778" s="661" t="inlineStr">
        <is>
          <t>RTH</t>
        </is>
      </c>
      <c r="F778" s="661" t="inlineStr">
        <is>
          <t>THREAD-BONNY NK072 TEX70</t>
        </is>
      </c>
      <c r="G778" s="662" t="inlineStr">
        <is>
          <t>D</t>
        </is>
      </c>
      <c r="L778" s="663" t="e">
        <v>#REF!</v>
      </c>
    </row>
    <row r="779">
      <c r="B779" s="659" t="n">
        <v>79394</v>
      </c>
      <c r="C779" s="661" t="inlineStr">
        <is>
          <t>2053A</t>
        </is>
      </c>
      <c r="D779" s="661" t="inlineStr">
        <is>
          <t>A&amp;E</t>
        </is>
      </c>
      <c r="E779" s="661" t="inlineStr">
        <is>
          <t>RTH</t>
        </is>
      </c>
      <c r="F779" s="661" t="inlineStr">
        <is>
          <t>THREAD-BONNY NU043 TEX135</t>
        </is>
      </c>
      <c r="G779" s="662" t="inlineStr">
        <is>
          <t>D</t>
        </is>
      </c>
      <c r="L779" s="663" t="e">
        <v>#REF!</v>
      </c>
    </row>
    <row r="780">
      <c r="B780" s="659" t="n">
        <v>79403</v>
      </c>
      <c r="C780" s="661" t="inlineStr">
        <is>
          <t>2083A</t>
        </is>
      </c>
      <c r="D780" s="661" t="inlineStr">
        <is>
          <t>THANH HUNG</t>
        </is>
      </c>
      <c r="E780" s="661" t="inlineStr">
        <is>
          <t>MISN</t>
        </is>
      </c>
      <c r="F780" s="661" t="inlineStr">
        <is>
          <t>SUB-UNCOATED PAPER1100*790-18G</t>
        </is>
      </c>
      <c r="G780" s="662" t="inlineStr">
        <is>
          <t>D</t>
        </is>
      </c>
      <c r="L780" s="663" t="e">
        <v>#REF!</v>
      </c>
    </row>
    <row r="781">
      <c r="B781" s="659" t="n">
        <v>79430</v>
      </c>
      <c r="C781" s="661" t="inlineStr">
        <is>
          <t>2053A</t>
        </is>
      </c>
      <c r="D781" s="661" t="inlineStr">
        <is>
          <t>A&amp;E</t>
        </is>
      </c>
      <c r="E781" s="661" t="inlineStr">
        <is>
          <t>RTH</t>
        </is>
      </c>
      <c r="F781" s="661" t="inlineStr">
        <is>
          <t>Thread-BonNy Nu048 Tex135</t>
        </is>
      </c>
      <c r="G781" s="662" t="inlineStr">
        <is>
          <t>D</t>
        </is>
      </c>
      <c r="L781" s="663" t="e">
        <v>#REF!</v>
      </c>
    </row>
    <row r="782">
      <c r="B782" s="659" t="n">
        <v>79496</v>
      </c>
      <c r="C782" s="661" t="inlineStr">
        <is>
          <t>2053A</t>
        </is>
      </c>
      <c r="D782" s="661" t="inlineStr">
        <is>
          <t>A&amp;E</t>
        </is>
      </c>
      <c r="E782" s="661" t="inlineStr">
        <is>
          <t>RTH</t>
        </is>
      </c>
      <c r="F782" s="661" t="inlineStr">
        <is>
          <t>THREAD-BONNY NE0037 TEX70</t>
        </is>
      </c>
      <c r="G782" s="662" t="inlineStr">
        <is>
          <t>D</t>
        </is>
      </c>
      <c r="H782" s="664" t="n">
        <v>1008</v>
      </c>
      <c r="I782" s="665" t="n">
        <v>1.23</v>
      </c>
      <c r="J782" s="666" t="inlineStr">
        <is>
          <t>KM</t>
        </is>
      </c>
      <c r="L782" s="663" t="e">
        <v>#REF!</v>
      </c>
    </row>
    <row r="783">
      <c r="B783" s="659" t="n">
        <v>79513</v>
      </c>
      <c r="C783" s="661" t="inlineStr">
        <is>
          <t>2053A</t>
        </is>
      </c>
      <c r="D783" s="661" t="inlineStr">
        <is>
          <t>A&amp;E</t>
        </is>
      </c>
      <c r="E783" s="661" t="inlineStr">
        <is>
          <t>RTH</t>
        </is>
      </c>
      <c r="F783" s="661" t="inlineStr">
        <is>
          <t>THREAD-BONNY NU045B TEX135</t>
        </is>
      </c>
      <c r="G783" s="662" t="inlineStr">
        <is>
          <t>D</t>
        </is>
      </c>
      <c r="H783" s="664" t="n">
        <v>1008</v>
      </c>
      <c r="I783" s="665" t="n">
        <v>2.47</v>
      </c>
      <c r="J783" s="666" t="inlineStr">
        <is>
          <t>KM</t>
        </is>
      </c>
      <c r="L783" s="663" t="e">
        <v>#REF!</v>
      </c>
    </row>
    <row r="784">
      <c r="B784" s="659" t="n">
        <v>79541</v>
      </c>
      <c r="C784" s="661" t="inlineStr">
        <is>
          <t>2053A</t>
        </is>
      </c>
      <c r="D784" s="661" t="inlineStr">
        <is>
          <t>A&amp;E</t>
        </is>
      </c>
      <c r="E784" s="661" t="inlineStr">
        <is>
          <t>RTH</t>
        </is>
      </c>
      <c r="F784" s="661" t="inlineStr">
        <is>
          <t>THREAD-BONNY NL024 TEX135</t>
        </is>
      </c>
      <c r="G784" s="662" t="inlineStr">
        <is>
          <t>D</t>
        </is>
      </c>
      <c r="L784" s="663" t="e">
        <v>#REF!</v>
      </c>
    </row>
    <row r="785">
      <c r="B785" s="659" t="n">
        <v>79632</v>
      </c>
      <c r="C785" s="661" t="inlineStr">
        <is>
          <t>2139A</t>
        </is>
      </c>
      <c r="D785" s="661" t="inlineStr">
        <is>
          <t>MINGLU</t>
        </is>
      </c>
      <c r="E785" s="661" t="inlineStr">
        <is>
          <t>MISN</t>
        </is>
      </c>
      <c r="F785" s="661" t="inlineStr">
        <is>
          <t>SKIRT LINING 6CM WIDTH</t>
        </is>
      </c>
      <c r="G785" s="662" t="inlineStr">
        <is>
          <t>I</t>
        </is>
      </c>
      <c r="H785" s="664" t="n">
        <v>1028</v>
      </c>
      <c r="I785" s="665" t="n">
        <v>0.0232</v>
      </c>
      <c r="J785" s="666" t="inlineStr">
        <is>
          <t>M</t>
        </is>
      </c>
      <c r="L785" s="663" t="e">
        <v>#REF!</v>
      </c>
    </row>
    <row r="786">
      <c r="B786" s="659" t="n">
        <v>79747</v>
      </c>
      <c r="C786" s="661" t="inlineStr">
        <is>
          <t>2053A</t>
        </is>
      </c>
      <c r="D786" s="661" t="inlineStr">
        <is>
          <t>A&amp;E</t>
        </is>
      </c>
      <c r="E786" s="661" t="inlineStr">
        <is>
          <t>RTH</t>
        </is>
      </c>
      <c r="F786" s="661" t="inlineStr">
        <is>
          <t>THREAD-BONNY 235 TEX135</t>
        </is>
      </c>
      <c r="G786" s="662" t="inlineStr">
        <is>
          <t>D</t>
        </is>
      </c>
      <c r="L786" s="663" t="e">
        <v>#REF!</v>
      </c>
    </row>
    <row r="787">
      <c r="B787" s="659" t="n">
        <v>79750</v>
      </c>
      <c r="C787" s="661" t="inlineStr">
        <is>
          <t>2047A</t>
        </is>
      </c>
      <c r="D787" s="661" t="inlineStr">
        <is>
          <t>NHU QUYNH</t>
        </is>
      </c>
      <c r="E787" s="661" t="inlineStr">
        <is>
          <t>RCT</t>
        </is>
      </c>
      <c r="F787" s="661" t="inlineStr">
        <is>
          <t>Tele-Un-37x28.5x12inch</t>
        </is>
      </c>
      <c r="G787" s="662" t="inlineStr">
        <is>
          <t>D</t>
        </is>
      </c>
      <c r="L787" s="663" t="e">
        <v>#REF!</v>
      </c>
    </row>
    <row r="788">
      <c r="B788" s="659" t="n">
        <v>79751</v>
      </c>
      <c r="C788" s="661" t="inlineStr">
        <is>
          <t>2047A</t>
        </is>
      </c>
      <c r="D788" s="661" t="inlineStr">
        <is>
          <t>NHU QUYNH</t>
        </is>
      </c>
      <c r="E788" s="661" t="inlineStr">
        <is>
          <t>RCT</t>
        </is>
      </c>
      <c r="F788" s="661" t="inlineStr">
        <is>
          <t>Tele-Un-30x28.5x14inch</t>
        </is>
      </c>
      <c r="G788" s="662" t="inlineStr">
        <is>
          <t>D</t>
        </is>
      </c>
      <c r="L788" s="663" t="e">
        <v>#REF!</v>
      </c>
    </row>
    <row r="789">
      <c r="B789" s="659" t="n">
        <v>79760</v>
      </c>
      <c r="C789" s="661" t="inlineStr">
        <is>
          <t>3A</t>
        </is>
      </c>
      <c r="D789" s="661" t="inlineStr">
        <is>
          <t>Wanvog</t>
        </is>
      </c>
      <c r="E789" s="661" t="inlineStr">
        <is>
          <t>UEUS</t>
        </is>
      </c>
      <c r="F789" s="661" t="inlineStr">
        <is>
          <t>LOCK NAIL ARM PANEL</t>
        </is>
      </c>
      <c r="G789" s="662" t="inlineStr">
        <is>
          <t>I</t>
        </is>
      </c>
      <c r="H789" s="664" t="n">
        <v>1052</v>
      </c>
      <c r="I789" s="665" t="n">
        <v>0.016</v>
      </c>
      <c r="J789" s="666" t="inlineStr">
        <is>
          <t>EA</t>
        </is>
      </c>
      <c r="L789" s="663" t="e">
        <v>#REF!</v>
      </c>
    </row>
    <row r="790">
      <c r="B790" s="659" t="n">
        <v>79782</v>
      </c>
      <c r="C790" s="661" t="inlineStr">
        <is>
          <t>2053A</t>
        </is>
      </c>
      <c r="D790" s="661" t="inlineStr">
        <is>
          <t>A&amp;E</t>
        </is>
      </c>
      <c r="E790" s="661" t="inlineStr">
        <is>
          <t>RTH</t>
        </is>
      </c>
      <c r="F790" s="661" t="inlineStr">
        <is>
          <t>THREAD-BONNY 4285  TEX135</t>
        </is>
      </c>
      <c r="G790" s="662" t="inlineStr">
        <is>
          <t>D</t>
        </is>
      </c>
      <c r="L790" s="663" t="e">
        <v>#REF!</v>
      </c>
    </row>
    <row r="791">
      <c r="B791" s="659" t="n">
        <v>79807</v>
      </c>
      <c r="C791" s="661" t="inlineStr">
        <is>
          <t>2053A</t>
        </is>
      </c>
      <c r="D791" s="661" t="inlineStr">
        <is>
          <t>A&amp;E</t>
        </is>
      </c>
      <c r="E791" s="661" t="inlineStr">
        <is>
          <t>RTH</t>
        </is>
      </c>
      <c r="F791" s="661" t="inlineStr">
        <is>
          <t>THREAD-BONNY NS005 TEX135</t>
        </is>
      </c>
      <c r="G791" s="662" t="inlineStr">
        <is>
          <t>D</t>
        </is>
      </c>
      <c r="L791" s="663" t="e">
        <v>#REF!</v>
      </c>
    </row>
    <row r="792">
      <c r="B792" s="659" t="n">
        <v>79814</v>
      </c>
      <c r="C792" s="661" t="inlineStr">
        <is>
          <t>2053A</t>
        </is>
      </c>
      <c r="D792" s="661" t="inlineStr">
        <is>
          <t>A&amp;E</t>
        </is>
      </c>
      <c r="E792" s="661" t="inlineStr">
        <is>
          <t>RTH</t>
        </is>
      </c>
      <c r="F792" s="661" t="inlineStr">
        <is>
          <t>THREAD-BONNY 3929 TEX135</t>
        </is>
      </c>
      <c r="G792" s="662" t="inlineStr">
        <is>
          <t>D</t>
        </is>
      </c>
      <c r="H792" s="664" t="n">
        <v>1008</v>
      </c>
      <c r="I792" s="665" t="n">
        <v>2.54</v>
      </c>
      <c r="J792" s="666" t="inlineStr">
        <is>
          <t>KM</t>
        </is>
      </c>
      <c r="L792" s="663" t="e">
        <v>#REF!</v>
      </c>
    </row>
    <row r="793">
      <c r="B793" s="659" t="n">
        <v>79840</v>
      </c>
      <c r="C793" s="661" t="inlineStr">
        <is>
          <t>3A</t>
        </is>
      </c>
      <c r="D793" s="661" t="inlineStr">
        <is>
          <t>Wanvog</t>
        </is>
      </c>
      <c r="E793" s="661" t="inlineStr">
        <is>
          <t>RBT</t>
        </is>
      </c>
      <c r="F793" s="661" t="inlineStr">
        <is>
          <t>BUTTON-326#30SHELL/J-HOOK BACK</t>
        </is>
      </c>
      <c r="G793" s="662" t="inlineStr">
        <is>
          <t>I</t>
        </is>
      </c>
      <c r="L793" s="663" t="e">
        <v>#REF!</v>
      </c>
    </row>
    <row r="794">
      <c r="B794" s="659" t="n">
        <v>79848</v>
      </c>
      <c r="C794" s="661" t="inlineStr">
        <is>
          <t>2050A</t>
        </is>
      </c>
      <c r="D794" s="661" t="inlineStr">
        <is>
          <t>GOLDEN</t>
        </is>
      </c>
      <c r="E794" s="661" t="inlineStr">
        <is>
          <t>UEUS</t>
        </is>
      </c>
      <c r="F794" s="661" t="inlineStr">
        <is>
          <t>GLUE 508</t>
        </is>
      </c>
      <c r="G794" s="662" t="inlineStr">
        <is>
          <t>D</t>
        </is>
      </c>
      <c r="L794" s="663" t="e">
        <v>#REF!</v>
      </c>
    </row>
    <row r="795">
      <c r="B795" s="659" t="n">
        <v>900040</v>
      </c>
      <c r="C795" s="661" t="inlineStr">
        <is>
          <t>2036A</t>
        </is>
      </c>
      <c r="D795" s="661" t="inlineStr">
        <is>
          <t>TIEN THANH</t>
        </is>
      </c>
      <c r="E795" s="661" t="inlineStr">
        <is>
          <t>UEPM</t>
        </is>
      </c>
      <c r="F795" s="661" t="inlineStr">
        <is>
          <t>PARTS INSIDE WARNING STRIP</t>
        </is>
      </c>
      <c r="G795" s="662" t="inlineStr">
        <is>
          <t>D</t>
        </is>
      </c>
      <c r="L795" s="663" t="e">
        <v>#REF!</v>
      </c>
    </row>
    <row r="796">
      <c r="B796" s="659" t="n">
        <v>900108</v>
      </c>
      <c r="C796" s="661" t="inlineStr">
        <is>
          <t>2065A</t>
        </is>
      </c>
      <c r="D796" s="661" t="inlineStr">
        <is>
          <t>HAN QUOC</t>
        </is>
      </c>
      <c r="E796" s="661" t="inlineStr">
        <is>
          <t>BAGE</t>
        </is>
      </c>
      <c r="F796" s="661" t="inlineStr">
        <is>
          <t>BUBBLE BAG 1750X250</t>
        </is>
      </c>
      <c r="G796" s="662" t="inlineStr">
        <is>
          <t>D</t>
        </is>
      </c>
      <c r="L796" s="663" t="e">
        <v>#REF!</v>
      </c>
    </row>
    <row r="797">
      <c r="B797" s="659" t="n">
        <v>900109</v>
      </c>
      <c r="C797" s="661" t="inlineStr">
        <is>
          <t>2065A</t>
        </is>
      </c>
      <c r="D797" s="661" t="inlineStr">
        <is>
          <t>HAN QUOC</t>
        </is>
      </c>
      <c r="E797" s="661" t="inlineStr">
        <is>
          <t>BAGE</t>
        </is>
      </c>
      <c r="F797" s="661" t="inlineStr">
        <is>
          <t>BUBBLE BAG 1300X250</t>
        </is>
      </c>
      <c r="G797" s="662" t="inlineStr">
        <is>
          <t>D</t>
        </is>
      </c>
      <c r="L797" s="663" t="e">
        <v>#REF!</v>
      </c>
    </row>
    <row r="798">
      <c r="B798" s="659" t="n">
        <v>900115</v>
      </c>
      <c r="C798" s="661" t="inlineStr">
        <is>
          <t>2065A</t>
        </is>
      </c>
      <c r="D798" s="661" t="inlineStr">
        <is>
          <t>HAN QUOC</t>
        </is>
      </c>
      <c r="E798" s="661" t="inlineStr">
        <is>
          <t>BAGE</t>
        </is>
      </c>
      <c r="F798" s="661" t="inlineStr">
        <is>
          <t>BUBBLE BAG 300X250</t>
        </is>
      </c>
      <c r="G798" s="662" t="inlineStr">
        <is>
          <t>D</t>
        </is>
      </c>
      <c r="L798" s="663" t="e">
        <v>#REF!</v>
      </c>
    </row>
    <row r="799">
      <c r="B799" s="659" t="n">
        <v>900124</v>
      </c>
      <c r="C799" s="661" t="inlineStr">
        <is>
          <t>2047A</t>
        </is>
      </c>
      <c r="D799" s="661" t="inlineStr">
        <is>
          <t>NHU QUYNH</t>
        </is>
      </c>
      <c r="E799" s="661" t="inlineStr">
        <is>
          <t>RCT</t>
        </is>
      </c>
      <c r="F799" s="661" t="inlineStr">
        <is>
          <t>Rsc-Un-30x28.5x19inch</t>
        </is>
      </c>
      <c r="G799" s="662" t="inlineStr">
        <is>
          <t>D</t>
        </is>
      </c>
      <c r="L799" s="663" t="e">
        <v>#REF!</v>
      </c>
    </row>
    <row r="800">
      <c r="B800" s="659" t="n">
        <v>900161</v>
      </c>
      <c r="C800" s="661" t="inlineStr">
        <is>
          <t>2070A</t>
        </is>
      </c>
      <c r="D800" s="661" t="inlineStr">
        <is>
          <t>DUC AN</t>
        </is>
      </c>
      <c r="E800" s="661" t="inlineStr">
        <is>
          <t>UEPM</t>
        </is>
      </c>
      <c r="F800" s="661" t="inlineStr">
        <is>
          <t>EPS 60X60X60MM 13KG SC</t>
        </is>
      </c>
      <c r="G800" s="662" t="inlineStr">
        <is>
          <t>D</t>
        </is>
      </c>
      <c r="L800" s="663" t="e">
        <v>#REF!</v>
      </c>
    </row>
    <row r="801">
      <c r="B801" s="659" t="n">
        <v>900163</v>
      </c>
      <c r="C801" s="661" t="inlineStr">
        <is>
          <t>2065A</t>
        </is>
      </c>
      <c r="D801" s="661" t="inlineStr">
        <is>
          <t>HAN QUOC</t>
        </is>
      </c>
      <c r="E801" s="661" t="inlineStr">
        <is>
          <t>BAGE</t>
        </is>
      </c>
      <c r="F801" s="661" t="inlineStr">
        <is>
          <t>BUBBLE BAG 350X250</t>
        </is>
      </c>
      <c r="G801" s="662" t="inlineStr">
        <is>
          <t>D</t>
        </is>
      </c>
      <c r="L801" s="663" t="e">
        <v>#REF!</v>
      </c>
    </row>
    <row r="802">
      <c r="B802" s="659" t="n">
        <v>900179</v>
      </c>
      <c r="C802" s="661" t="inlineStr">
        <is>
          <t>2065A</t>
        </is>
      </c>
      <c r="D802" s="661" t="inlineStr">
        <is>
          <t>HAN QUOC</t>
        </is>
      </c>
      <c r="E802" s="661" t="inlineStr">
        <is>
          <t>BAGE</t>
        </is>
      </c>
      <c r="F802" s="661" t="inlineStr">
        <is>
          <t>BUBBLE BAG 2000X250MM</t>
        </is>
      </c>
      <c r="G802" s="662" t="inlineStr">
        <is>
          <t>D</t>
        </is>
      </c>
      <c r="L802" s="663" t="e">
        <v>#REF!</v>
      </c>
    </row>
    <row r="803">
      <c r="B803" s="659" t="n">
        <v>900248</v>
      </c>
      <c r="C803" s="661" t="inlineStr">
        <is>
          <t>2065A</t>
        </is>
      </c>
      <c r="D803" s="661" t="inlineStr">
        <is>
          <t>HAN QUOC</t>
        </is>
      </c>
      <c r="E803" s="661" t="inlineStr">
        <is>
          <t>BAGE</t>
        </is>
      </c>
      <c r="F803" s="661" t="inlineStr">
        <is>
          <t>BUBBLE BAG 1800X250MM</t>
        </is>
      </c>
      <c r="G803" s="662" t="inlineStr">
        <is>
          <t>D</t>
        </is>
      </c>
      <c r="L803" s="663" t="e">
        <v>#REF!</v>
      </c>
    </row>
    <row r="804">
      <c r="B804" s="659" t="n">
        <v>900294</v>
      </c>
      <c r="C804" s="661" t="inlineStr">
        <is>
          <t>2036A</t>
        </is>
      </c>
      <c r="D804" s="661" t="inlineStr">
        <is>
          <t>TIEN THANH</t>
        </is>
      </c>
      <c r="E804" s="661" t="inlineStr">
        <is>
          <t>BAGE</t>
        </is>
      </c>
      <c r="F804" s="661" t="inlineStr">
        <is>
          <t>PE BAG 350X450(DEPTH)MM-75753S</t>
        </is>
      </c>
      <c r="G804" s="662" t="inlineStr">
        <is>
          <t>D</t>
        </is>
      </c>
      <c r="L804" s="663" t="e">
        <v>#REF!</v>
      </c>
    </row>
    <row r="805">
      <c r="B805" s="659" t="n">
        <v>900342</v>
      </c>
      <c r="C805" s="661" t="inlineStr">
        <is>
          <t>2065A</t>
        </is>
      </c>
      <c r="D805" s="661" t="inlineStr">
        <is>
          <t>HAN QUOC</t>
        </is>
      </c>
      <c r="E805" s="661" t="inlineStr">
        <is>
          <t>BAGE</t>
        </is>
      </c>
      <c r="F805" s="661" t="inlineStr">
        <is>
          <t>BUBBLE BAG 2400X250MM</t>
        </is>
      </c>
      <c r="G805" s="662" t="inlineStr">
        <is>
          <t>D</t>
        </is>
      </c>
      <c r="L805" s="663" t="e">
        <v>#REF!</v>
      </c>
    </row>
    <row r="806">
      <c r="B806" s="659" t="n">
        <v>900367</v>
      </c>
      <c r="C806" s="661" t="inlineStr">
        <is>
          <t>2065A</t>
        </is>
      </c>
      <c r="D806" s="661" t="inlineStr">
        <is>
          <t>HAN QUOC</t>
        </is>
      </c>
      <c r="E806" s="661" t="inlineStr">
        <is>
          <t>BAGE</t>
        </is>
      </c>
      <c r="F806" s="661" t="inlineStr">
        <is>
          <t>BUBBLE BAG 650X250MM</t>
        </is>
      </c>
      <c r="G806" s="662" t="inlineStr">
        <is>
          <t>D</t>
        </is>
      </c>
      <c r="L806" s="663" t="e">
        <v>#REF!</v>
      </c>
    </row>
    <row r="807">
      <c r="B807" s="659" t="n">
        <v>900400</v>
      </c>
      <c r="C807" s="661" t="inlineStr">
        <is>
          <t>2080A</t>
        </is>
      </c>
      <c r="D807" s="661" t="inlineStr">
        <is>
          <t>M&amp;U</t>
        </is>
      </c>
      <c r="E807" s="661" t="inlineStr">
        <is>
          <t>MISN</t>
        </is>
      </c>
      <c r="F807" s="661" t="inlineStr">
        <is>
          <t>PACKING TAPE W4.8CM</t>
        </is>
      </c>
      <c r="G807" s="662" t="inlineStr">
        <is>
          <t>D</t>
        </is>
      </c>
      <c r="L807" s="663" t="e">
        <v>#REF!</v>
      </c>
    </row>
    <row r="808">
      <c r="B808" s="659" t="n">
        <v>900401</v>
      </c>
      <c r="C808" s="661" t="inlineStr">
        <is>
          <t>2038A</t>
        </is>
      </c>
      <c r="D808" s="661" t="inlineStr">
        <is>
          <t>THUONGVIET</t>
        </is>
      </c>
      <c r="E808" s="661" t="inlineStr">
        <is>
          <t>MISN</t>
        </is>
      </c>
      <c r="F808" s="661" t="inlineStr">
        <is>
          <t>PACKING TAPE W6CM</t>
        </is>
      </c>
      <c r="G808" s="662" t="inlineStr">
        <is>
          <t>D</t>
        </is>
      </c>
      <c r="L808" s="663" t="e">
        <v>#REF!</v>
      </c>
    </row>
    <row r="809">
      <c r="B809" s="659" t="n">
        <v>900589</v>
      </c>
      <c r="C809" s="661" t="inlineStr">
        <is>
          <t>2065A</t>
        </is>
      </c>
      <c r="D809" s="661" t="inlineStr">
        <is>
          <t>HAN QUOC</t>
        </is>
      </c>
      <c r="E809" s="661" t="inlineStr">
        <is>
          <t>BAGE</t>
        </is>
      </c>
      <c r="F809" s="661" t="inlineStr">
        <is>
          <t>BUBBLE BAG 1300X150MM</t>
        </is>
      </c>
      <c r="G809" s="662" t="inlineStr">
        <is>
          <t>D</t>
        </is>
      </c>
      <c r="L809" s="663" t="e">
        <v>#REF!</v>
      </c>
    </row>
    <row r="810">
      <c r="B810" s="659" t="n">
        <v>900609</v>
      </c>
      <c r="C810" s="661" t="inlineStr">
        <is>
          <t>2062A</t>
        </is>
      </c>
      <c r="D810" s="661" t="inlineStr">
        <is>
          <t>TH. PHONG</t>
        </is>
      </c>
      <c r="E810" s="661" t="inlineStr">
        <is>
          <t>RCT</t>
        </is>
      </c>
      <c r="F810" s="661" t="inlineStr">
        <is>
          <t>Rsc-Un-37x28.5x24inch</t>
        </is>
      </c>
      <c r="G810" s="662" t="inlineStr">
        <is>
          <t>D</t>
        </is>
      </c>
      <c r="L810" s="663" t="e">
        <v>#REF!</v>
      </c>
    </row>
    <row r="811">
      <c r="B811" s="659" t="n">
        <v>900612</v>
      </c>
      <c r="C811" s="661" t="inlineStr">
        <is>
          <t>2036A</t>
        </is>
      </c>
      <c r="D811" s="661" t="inlineStr">
        <is>
          <t>TIEN THANH</t>
        </is>
      </c>
      <c r="E811" s="661" t="inlineStr">
        <is>
          <t>BAGE</t>
        </is>
      </c>
      <c r="F811" s="661" t="inlineStr">
        <is>
          <t>PLASTIC BAG 38"X54"</t>
        </is>
      </c>
      <c r="G811" s="662" t="inlineStr">
        <is>
          <t>D</t>
        </is>
      </c>
      <c r="L811" s="663" t="e">
        <v>#REF!</v>
      </c>
    </row>
    <row r="812">
      <c r="B812" s="659" t="n">
        <v>900620</v>
      </c>
      <c r="C812" s="661" t="inlineStr">
        <is>
          <t>2060A</t>
        </is>
      </c>
      <c r="D812" s="661" t="inlineStr">
        <is>
          <t>DAI NGOC</t>
        </is>
      </c>
      <c r="E812" s="661" t="inlineStr">
        <is>
          <t>RCT</t>
        </is>
      </c>
      <c r="F812" s="661" t="inlineStr">
        <is>
          <t>TELE-UN-43.75X33.25X7INCH</t>
        </is>
      </c>
      <c r="G812" s="662" t="inlineStr">
        <is>
          <t>D</t>
        </is>
      </c>
      <c r="L812" s="663" t="e">
        <v>#REF!</v>
      </c>
    </row>
    <row r="813">
      <c r="B813" s="659" t="n">
        <v>900622</v>
      </c>
      <c r="C813" s="661" t="inlineStr">
        <is>
          <t>2062A</t>
        </is>
      </c>
      <c r="D813" s="661" t="inlineStr">
        <is>
          <t>TH. PHONG</t>
        </is>
      </c>
      <c r="E813" s="661" t="inlineStr">
        <is>
          <t>RCT</t>
        </is>
      </c>
      <c r="F813" s="661" t="inlineStr">
        <is>
          <t>Rsc-Un-30x28.5x23inch</t>
        </is>
      </c>
      <c r="G813" s="662" t="inlineStr">
        <is>
          <t>D</t>
        </is>
      </c>
      <c r="L813" s="663" t="e">
        <v>#REF!</v>
      </c>
    </row>
    <row r="814">
      <c r="B814" s="659" t="n">
        <v>900625</v>
      </c>
      <c r="C814" s="661" t="inlineStr">
        <is>
          <t>2047A</t>
        </is>
      </c>
      <c r="D814" s="661" t="inlineStr">
        <is>
          <t>NHU QUYNH</t>
        </is>
      </c>
      <c r="E814" s="661" t="inlineStr">
        <is>
          <t>RCT</t>
        </is>
      </c>
      <c r="F814" s="661" t="inlineStr">
        <is>
          <t>Rsc-Un-30x28.5x16inch</t>
        </is>
      </c>
      <c r="G814" s="662" t="inlineStr">
        <is>
          <t>D</t>
        </is>
      </c>
      <c r="L814" s="663" t="e">
        <v>#REF!</v>
      </c>
    </row>
    <row r="815">
      <c r="B815" s="659" t="n">
        <v>900639</v>
      </c>
      <c r="C815" s="661" t="inlineStr">
        <is>
          <t>2060A</t>
        </is>
      </c>
      <c r="D815" s="661" t="inlineStr">
        <is>
          <t>DAI NGOC</t>
        </is>
      </c>
      <c r="E815" s="661" t="inlineStr">
        <is>
          <t>RCT</t>
        </is>
      </c>
      <c r="F815" s="661" t="inlineStr">
        <is>
          <t>TELE-UN-42X28.5X12INCH</t>
        </is>
      </c>
      <c r="G815" s="662" t="inlineStr">
        <is>
          <t>D</t>
        </is>
      </c>
      <c r="L815" s="663" t="e">
        <v>#REF!</v>
      </c>
    </row>
    <row r="816">
      <c r="B816" s="659" t="n">
        <v>900640</v>
      </c>
      <c r="C816" s="661" t="inlineStr">
        <is>
          <t>2047A</t>
        </is>
      </c>
      <c r="D816" s="661" t="inlineStr">
        <is>
          <t>NHU QUYNH</t>
        </is>
      </c>
      <c r="E816" s="661" t="inlineStr">
        <is>
          <t>RCT</t>
        </is>
      </c>
      <c r="F816" s="661" t="inlineStr">
        <is>
          <t>Rsc-Un-37x28.5x16inch</t>
        </is>
      </c>
      <c r="G816" s="662" t="inlineStr">
        <is>
          <t>D</t>
        </is>
      </c>
      <c r="L816" s="663" t="e">
        <v>#REF!</v>
      </c>
    </row>
    <row r="817">
      <c r="B817" s="659" t="n">
        <v>900651</v>
      </c>
      <c r="C817" s="661" t="inlineStr">
        <is>
          <t>2036A</t>
        </is>
      </c>
      <c r="D817" s="661" t="inlineStr">
        <is>
          <t>TIEN THANH</t>
        </is>
      </c>
      <c r="E817" s="661" t="inlineStr">
        <is>
          <t>BAGE</t>
        </is>
      </c>
      <c r="F817" s="661" t="inlineStr">
        <is>
          <t>PLASTIC BAG 34*50 INCH</t>
        </is>
      </c>
      <c r="G817" s="662" t="inlineStr">
        <is>
          <t>D</t>
        </is>
      </c>
      <c r="L817" s="663" t="e">
        <v>#REF!</v>
      </c>
    </row>
    <row r="818">
      <c r="B818" s="659" t="n">
        <v>900653</v>
      </c>
      <c r="C818" s="661" t="inlineStr">
        <is>
          <t>2036A</t>
        </is>
      </c>
      <c r="D818" s="661" t="inlineStr">
        <is>
          <t>TIEN THANH</t>
        </is>
      </c>
      <c r="E818" s="661" t="inlineStr">
        <is>
          <t>BAGE</t>
        </is>
      </c>
      <c r="F818" s="661" t="inlineStr">
        <is>
          <t>SEAL BAG 26"*29"*0.08MM  USD</t>
        </is>
      </c>
      <c r="G818" s="662" t="inlineStr">
        <is>
          <t>D</t>
        </is>
      </c>
      <c r="L818" s="663" t="e">
        <v>#REF!</v>
      </c>
    </row>
    <row r="819">
      <c r="B819" s="659" t="n">
        <v>900657</v>
      </c>
      <c r="C819" s="661" t="inlineStr">
        <is>
          <t>2036A</t>
        </is>
      </c>
      <c r="D819" s="661" t="inlineStr">
        <is>
          <t>TIEN THANH</t>
        </is>
      </c>
      <c r="E819" s="661" t="inlineStr">
        <is>
          <t>BAGE</t>
        </is>
      </c>
      <c r="F819" s="661" t="inlineStr">
        <is>
          <t>PLASTIC BAG 38"*54"</t>
        </is>
      </c>
      <c r="G819" s="662" t="inlineStr">
        <is>
          <t>D</t>
        </is>
      </c>
      <c r="L819" s="663" t="e">
        <v>#REF!</v>
      </c>
    </row>
    <row r="820">
      <c r="B820" s="659" t="n">
        <v>900658</v>
      </c>
      <c r="C820" s="661" t="inlineStr">
        <is>
          <t>2036A</t>
        </is>
      </c>
      <c r="D820" s="661" t="inlineStr">
        <is>
          <t>TIEN THANH</t>
        </is>
      </c>
      <c r="E820" s="661" t="inlineStr">
        <is>
          <t>BAGE</t>
        </is>
      </c>
      <c r="F820" s="661" t="inlineStr">
        <is>
          <t>PLASTIC BAG 45X54 INCH</t>
        </is>
      </c>
      <c r="G820" s="662" t="inlineStr">
        <is>
          <t>D</t>
        </is>
      </c>
      <c r="L820" s="663" t="e">
        <v>#REF!</v>
      </c>
    </row>
    <row r="821">
      <c r="B821" s="659" t="n">
        <v>900667</v>
      </c>
      <c r="C821" s="661" t="inlineStr">
        <is>
          <t>2036A</t>
        </is>
      </c>
      <c r="D821" s="661" t="inlineStr">
        <is>
          <t>TIEN THANH</t>
        </is>
      </c>
      <c r="E821" s="661" t="inlineStr">
        <is>
          <t>BAGE</t>
        </is>
      </c>
      <c r="F821" s="661" t="inlineStr">
        <is>
          <t>PE BAG 550X350MM</t>
        </is>
      </c>
      <c r="G821" s="662" t="inlineStr">
        <is>
          <t>D</t>
        </is>
      </c>
      <c r="L821" s="663" t="e">
        <v>#REF!</v>
      </c>
    </row>
    <row r="822">
      <c r="B822" s="659" t="n">
        <v>900671</v>
      </c>
      <c r="C822" s="661" t="inlineStr">
        <is>
          <t>2062A</t>
        </is>
      </c>
      <c r="D822" s="661" t="inlineStr">
        <is>
          <t>TH. PHONG</t>
        </is>
      </c>
      <c r="E822" s="661" t="inlineStr">
        <is>
          <t>RCT</t>
        </is>
      </c>
      <c r="F822" s="661" t="inlineStr">
        <is>
          <t>Rsc-Un-37x28.5x18inch</t>
        </is>
      </c>
      <c r="G822" s="662" t="inlineStr">
        <is>
          <t>D</t>
        </is>
      </c>
      <c r="L822" s="663" t="e">
        <v>#REF!</v>
      </c>
    </row>
    <row r="823">
      <c r="B823" s="659" t="n">
        <v>900672</v>
      </c>
      <c r="C823" s="661" t="inlineStr">
        <is>
          <t>2047A</t>
        </is>
      </c>
      <c r="D823" s="661" t="inlineStr">
        <is>
          <t>NHU QUYNH</t>
        </is>
      </c>
      <c r="E823" s="661" t="inlineStr">
        <is>
          <t>RCT</t>
        </is>
      </c>
      <c r="F823" s="661" t="inlineStr">
        <is>
          <t>RSC-PN-2210X490X235MM</t>
        </is>
      </c>
      <c r="G823" s="662" t="inlineStr">
        <is>
          <t>D</t>
        </is>
      </c>
      <c r="L823" s="663" t="e">
        <v>#REF!</v>
      </c>
    </row>
    <row r="824">
      <c r="B824" s="659" t="n">
        <v>900673</v>
      </c>
      <c r="C824" s="661" t="inlineStr">
        <is>
          <t>2047A</t>
        </is>
      </c>
      <c r="D824" s="661" t="inlineStr">
        <is>
          <t>NHU QUYNH</t>
        </is>
      </c>
      <c r="E824" s="661" t="inlineStr">
        <is>
          <t>RCT</t>
        </is>
      </c>
      <c r="F824" s="661" t="inlineStr">
        <is>
          <t>RSC-PN-2202X197X408MM</t>
        </is>
      </c>
      <c r="G824" s="662" t="inlineStr">
        <is>
          <t>D</t>
        </is>
      </c>
      <c r="L824" s="663" t="e">
        <v>#REF!</v>
      </c>
    </row>
    <row r="825">
      <c r="B825" s="659" t="n">
        <v>900674</v>
      </c>
      <c r="C825" s="661" t="inlineStr">
        <is>
          <t>2047A</t>
        </is>
      </c>
      <c r="D825" s="661" t="inlineStr">
        <is>
          <t>NHU QUYNH</t>
        </is>
      </c>
      <c r="E825" s="661" t="inlineStr">
        <is>
          <t>RCT</t>
        </is>
      </c>
      <c r="F825" s="661" t="inlineStr">
        <is>
          <t>TELE-PN-1650X650X230MM</t>
        </is>
      </c>
      <c r="G825" s="662" t="inlineStr">
        <is>
          <t>D</t>
        </is>
      </c>
      <c r="L825" s="663" t="e">
        <v>#REF!</v>
      </c>
    </row>
    <row r="826">
      <c r="B826" s="659" t="n">
        <v>900675</v>
      </c>
      <c r="C826" s="661" t="inlineStr">
        <is>
          <t>2047A</t>
        </is>
      </c>
      <c r="D826" s="661" t="inlineStr">
        <is>
          <t>NHU QUYNH</t>
        </is>
      </c>
      <c r="E826" s="661" t="inlineStr">
        <is>
          <t>RCT</t>
        </is>
      </c>
      <c r="F826" s="661" t="inlineStr">
        <is>
          <t>RSC-PN-1620X250X390MM</t>
        </is>
      </c>
      <c r="G826" s="662" t="inlineStr">
        <is>
          <t>D</t>
        </is>
      </c>
      <c r="L826" s="663" t="e">
        <v>#REF!</v>
      </c>
    </row>
    <row r="827">
      <c r="B827" s="659" t="n">
        <v>900678</v>
      </c>
      <c r="C827" s="661" t="inlineStr">
        <is>
          <t>2063A</t>
        </is>
      </c>
      <c r="D827" s="661" t="inlineStr">
        <is>
          <t>YFY</t>
        </is>
      </c>
      <c r="E827" s="661" t="inlineStr">
        <is>
          <t>PKLN</t>
        </is>
      </c>
      <c r="F827" s="661" t="inlineStr">
        <is>
          <t>1 WALL CORRU CB 2190X190MM</t>
        </is>
      </c>
      <c r="G827" s="662" t="inlineStr">
        <is>
          <t>D</t>
        </is>
      </c>
      <c r="L827" s="663" t="e">
        <v>#REF!</v>
      </c>
    </row>
    <row r="828">
      <c r="B828" s="659" t="n">
        <v>900679</v>
      </c>
      <c r="C828" s="661" t="inlineStr">
        <is>
          <t>2063A</t>
        </is>
      </c>
      <c r="D828" s="661" t="inlineStr">
        <is>
          <t>YFY</t>
        </is>
      </c>
      <c r="E828" s="661" t="inlineStr">
        <is>
          <t>PKLN</t>
        </is>
      </c>
      <c r="F828" s="661" t="inlineStr">
        <is>
          <t>U 1 WALL CORRU CB 2365X380MM</t>
        </is>
      </c>
      <c r="G828" s="662" t="inlineStr">
        <is>
          <t>D</t>
        </is>
      </c>
      <c r="L828" s="663" t="e">
        <v>#REF!</v>
      </c>
    </row>
    <row r="829">
      <c r="B829" s="659" t="n">
        <v>900682</v>
      </c>
      <c r="C829" s="661" t="inlineStr">
        <is>
          <t>2063A</t>
        </is>
      </c>
      <c r="D829" s="661" t="inlineStr">
        <is>
          <t>YFY</t>
        </is>
      </c>
      <c r="E829" s="661" t="inlineStr">
        <is>
          <t>PKLN</t>
        </is>
      </c>
      <c r="F829" s="661" t="inlineStr">
        <is>
          <t>1 WALL CORRU CB 1610X240MM</t>
        </is>
      </c>
      <c r="G829" s="662" t="inlineStr">
        <is>
          <t>D</t>
        </is>
      </c>
      <c r="L829" s="663" t="e">
        <v>#REF!</v>
      </c>
    </row>
    <row r="830">
      <c r="B830" s="659" t="n">
        <v>900683</v>
      </c>
      <c r="C830" s="661" t="inlineStr">
        <is>
          <t>2063A</t>
        </is>
      </c>
      <c r="D830" s="661" t="inlineStr">
        <is>
          <t>YFY</t>
        </is>
      </c>
      <c r="E830" s="661" t="inlineStr">
        <is>
          <t>PKLN</t>
        </is>
      </c>
      <c r="F830" s="661" t="inlineStr">
        <is>
          <t>U 1 WALL CORRU CB 1835X370MM</t>
        </is>
      </c>
      <c r="G830" s="662" t="inlineStr">
        <is>
          <t>D</t>
        </is>
      </c>
      <c r="L830" s="663" t="e">
        <v>#REF!</v>
      </c>
    </row>
    <row r="831">
      <c r="B831" s="659" t="n">
        <v>900720</v>
      </c>
      <c r="C831" s="661" t="inlineStr">
        <is>
          <t>2047A</t>
        </is>
      </c>
      <c r="D831" s="661" t="inlineStr">
        <is>
          <t>NHU QUYNH</t>
        </is>
      </c>
      <c r="E831" s="661" t="inlineStr">
        <is>
          <t>RCT</t>
        </is>
      </c>
      <c r="F831" s="661" t="inlineStr">
        <is>
          <t>TELE-UN-42.5X28.5X14.5INCH</t>
        </is>
      </c>
      <c r="G831" s="662" t="inlineStr">
        <is>
          <t>D</t>
        </is>
      </c>
      <c r="L831" s="663" t="e">
        <v>#REF!</v>
      </c>
    </row>
    <row r="832">
      <c r="B832" s="659" t="n">
        <v>900721</v>
      </c>
      <c r="C832" s="661" t="inlineStr">
        <is>
          <t>2062A</t>
        </is>
      </c>
      <c r="D832" s="661" t="inlineStr">
        <is>
          <t>TH. PHONG</t>
        </is>
      </c>
      <c r="E832" s="661" t="inlineStr">
        <is>
          <t>RCT</t>
        </is>
      </c>
      <c r="F832" s="661" t="inlineStr">
        <is>
          <t>RSC-UN-37X28.5X19.5INCH</t>
        </is>
      </c>
      <c r="G832" s="662" t="inlineStr">
        <is>
          <t>D</t>
        </is>
      </c>
      <c r="L832" s="663" t="e">
        <v>#REF!</v>
      </c>
    </row>
    <row r="833">
      <c r="B833" s="659" t="n">
        <v>900722</v>
      </c>
      <c r="C833" s="661" t="inlineStr">
        <is>
          <t>2065A</t>
        </is>
      </c>
      <c r="D833" s="661" t="inlineStr">
        <is>
          <t>HAN QUOC</t>
        </is>
      </c>
      <c r="E833" s="661" t="inlineStr">
        <is>
          <t>BAGE</t>
        </is>
      </c>
      <c r="F833" s="661" t="inlineStr">
        <is>
          <t>BUBBLE BAG 2000X200MM</t>
        </is>
      </c>
      <c r="G833" s="662" t="inlineStr">
        <is>
          <t>D</t>
        </is>
      </c>
      <c r="L833" s="663" t="e">
        <v>#REF!</v>
      </c>
    </row>
    <row r="834">
      <c r="B834" s="659" t="n">
        <v>900726</v>
      </c>
      <c r="C834" s="661" t="inlineStr">
        <is>
          <t>2065A</t>
        </is>
      </c>
      <c r="D834" s="661" t="inlineStr">
        <is>
          <t>HAN QUOC</t>
        </is>
      </c>
      <c r="E834" s="661" t="inlineStr">
        <is>
          <t>BAGE</t>
        </is>
      </c>
      <c r="F834" s="661" t="inlineStr">
        <is>
          <t>BUBBLE BAG 350X200MM</t>
        </is>
      </c>
      <c r="G834" s="662" t="inlineStr">
        <is>
          <t>D</t>
        </is>
      </c>
      <c r="L834" s="663" t="e">
        <v>#REF!</v>
      </c>
    </row>
    <row r="835">
      <c r="B835" s="659" t="n">
        <v>900727</v>
      </c>
      <c r="C835" s="661" t="inlineStr">
        <is>
          <t>2065A</t>
        </is>
      </c>
      <c r="D835" s="661" t="inlineStr">
        <is>
          <t>HAN QUOC</t>
        </is>
      </c>
      <c r="E835" s="661" t="inlineStr">
        <is>
          <t>BAGE</t>
        </is>
      </c>
      <c r="F835" s="661" t="inlineStr">
        <is>
          <t>BUBBLE BAG 180X250MM</t>
        </is>
      </c>
      <c r="G835" s="662" t="inlineStr">
        <is>
          <t>D</t>
        </is>
      </c>
      <c r="L835" s="663" t="e">
        <v>#REF!</v>
      </c>
    </row>
    <row r="836">
      <c r="B836" s="659" t="n">
        <v>900734</v>
      </c>
      <c r="C836" s="661" t="inlineStr">
        <is>
          <t>2065A</t>
        </is>
      </c>
      <c r="D836" s="661" t="inlineStr">
        <is>
          <t>HAN QUOC</t>
        </is>
      </c>
      <c r="E836" s="661" t="inlineStr">
        <is>
          <t>BAGE</t>
        </is>
      </c>
      <c r="F836" s="661" t="inlineStr">
        <is>
          <t>BUBBLE BAG 850X230MM</t>
        </is>
      </c>
      <c r="G836" s="662" t="inlineStr">
        <is>
          <t>D</t>
        </is>
      </c>
      <c r="L836" s="663" t="e">
        <v>#REF!</v>
      </c>
    </row>
    <row r="837">
      <c r="B837" s="659" t="n">
        <v>900735</v>
      </c>
      <c r="C837" s="661" t="inlineStr">
        <is>
          <t>2065A</t>
        </is>
      </c>
      <c r="D837" s="661" t="inlineStr">
        <is>
          <t>HAN QUOC</t>
        </is>
      </c>
      <c r="E837" s="661" t="inlineStr">
        <is>
          <t>BAGE</t>
        </is>
      </c>
      <c r="F837" s="661" t="inlineStr">
        <is>
          <t>BUBBLE BAG 2600X250MM</t>
        </is>
      </c>
      <c r="G837" s="662" t="inlineStr">
        <is>
          <t>D</t>
        </is>
      </c>
      <c r="L837" s="663" t="e">
        <v>#REF!</v>
      </c>
    </row>
    <row r="838">
      <c r="B838" s="659" t="n">
        <v>900748</v>
      </c>
      <c r="C838" s="661" t="inlineStr">
        <is>
          <t>2065A</t>
        </is>
      </c>
      <c r="D838" s="661" t="inlineStr">
        <is>
          <t>HAN QUOC</t>
        </is>
      </c>
      <c r="E838" s="661" t="inlineStr">
        <is>
          <t>BAGE</t>
        </is>
      </c>
      <c r="F838" s="661" t="inlineStr">
        <is>
          <t>BUBBLE BAG D150MM W250MM</t>
        </is>
      </c>
      <c r="G838" s="662" t="inlineStr">
        <is>
          <t>D</t>
        </is>
      </c>
      <c r="L838" s="663" t="e">
        <v>#REF!</v>
      </c>
    </row>
    <row r="839">
      <c r="B839" s="659" t="n">
        <v>900809</v>
      </c>
      <c r="C839" s="661" t="inlineStr">
        <is>
          <t>2065A</t>
        </is>
      </c>
      <c r="D839" s="661" t="inlineStr">
        <is>
          <t>HAN QUOC</t>
        </is>
      </c>
      <c r="E839" s="661" t="inlineStr">
        <is>
          <t>BAGE</t>
        </is>
      </c>
      <c r="F839" s="661" t="inlineStr">
        <is>
          <t>BUBBLE BAG 650X150MM</t>
        </is>
      </c>
      <c r="G839" s="662" t="inlineStr">
        <is>
          <t>D</t>
        </is>
      </c>
      <c r="L839" s="663" t="e">
        <v>#REF!</v>
      </c>
    </row>
    <row r="840">
      <c r="B840" s="659" t="n">
        <v>900846</v>
      </c>
      <c r="C840" s="661" t="inlineStr">
        <is>
          <t>2063A</t>
        </is>
      </c>
      <c r="D840" s="661" t="inlineStr">
        <is>
          <t>YFY</t>
        </is>
      </c>
      <c r="E840" s="661" t="inlineStr">
        <is>
          <t>PKLN</t>
        </is>
      </c>
      <c r="F840" s="661" t="inlineStr">
        <is>
          <t>U 2 WALL CORRUGATE 1626X594 UN</t>
        </is>
      </c>
      <c r="G840" s="662" t="inlineStr">
        <is>
          <t>D</t>
        </is>
      </c>
      <c r="L840" s="663" t="e">
        <v>#REF!</v>
      </c>
    </row>
    <row r="841">
      <c r="B841" s="659" t="n">
        <v>900847</v>
      </c>
      <c r="C841" s="661" t="inlineStr">
        <is>
          <t>2063A</t>
        </is>
      </c>
      <c r="D841" s="661" t="inlineStr">
        <is>
          <t>YFY</t>
        </is>
      </c>
      <c r="E841" s="661" t="inlineStr">
        <is>
          <t>PKLN</t>
        </is>
      </c>
      <c r="F841" s="661" t="inlineStr">
        <is>
          <t>U 2 WALL CORRUGATE 1829X518 UN</t>
        </is>
      </c>
      <c r="G841" s="662" t="inlineStr">
        <is>
          <t>D</t>
        </is>
      </c>
      <c r="L841" s="663" t="e">
        <v>#REF!</v>
      </c>
    </row>
    <row r="842">
      <c r="B842" s="659" t="n">
        <v>900848</v>
      </c>
      <c r="C842" s="661" t="inlineStr">
        <is>
          <t>2063A</t>
        </is>
      </c>
      <c r="D842" s="661" t="inlineStr">
        <is>
          <t>YFY</t>
        </is>
      </c>
      <c r="E842" s="661" t="inlineStr">
        <is>
          <t>PKLN</t>
        </is>
      </c>
      <c r="F842" s="661" t="inlineStr">
        <is>
          <t>U 2 WALL CORRUGATE 1448X391 UN</t>
        </is>
      </c>
      <c r="G842" s="662" t="inlineStr">
        <is>
          <t>D</t>
        </is>
      </c>
      <c r="L842" s="663" t="e">
        <v>#REF!</v>
      </c>
    </row>
    <row r="843">
      <c r="B843" s="659" t="n">
        <v>900849</v>
      </c>
      <c r="C843" s="661" t="inlineStr">
        <is>
          <t>2063A</t>
        </is>
      </c>
      <c r="D843" s="661" t="inlineStr">
        <is>
          <t>YFY</t>
        </is>
      </c>
      <c r="E843" s="661" t="inlineStr">
        <is>
          <t>PKLN</t>
        </is>
      </c>
      <c r="F843" s="661" t="inlineStr">
        <is>
          <t>U 2 WALL CORRUGATE 1448X467 UN</t>
        </is>
      </c>
      <c r="G843" s="662" t="inlineStr">
        <is>
          <t>D</t>
        </is>
      </c>
      <c r="L843" s="663" t="e">
        <v>#REF!</v>
      </c>
    </row>
    <row r="844">
      <c r="B844" s="659" t="n">
        <v>900850</v>
      </c>
      <c r="C844" s="661" t="inlineStr">
        <is>
          <t>2063A</t>
        </is>
      </c>
      <c r="D844" s="661" t="inlineStr">
        <is>
          <t>YFY</t>
        </is>
      </c>
      <c r="E844" s="661" t="inlineStr">
        <is>
          <t>PKLN</t>
        </is>
      </c>
      <c r="F844" s="661" t="inlineStr">
        <is>
          <t>U 2 WALL CORRUGATE 1448X569 UN</t>
        </is>
      </c>
      <c r="G844" s="662" t="inlineStr">
        <is>
          <t>D</t>
        </is>
      </c>
      <c r="L844" s="663" t="e">
        <v>#REF!</v>
      </c>
    </row>
    <row r="845">
      <c r="B845" s="659" t="n">
        <v>900854</v>
      </c>
      <c r="C845" s="661" t="inlineStr">
        <is>
          <t>2063A</t>
        </is>
      </c>
      <c r="D845" s="661" t="inlineStr">
        <is>
          <t>YFY</t>
        </is>
      </c>
      <c r="E845" s="661" t="inlineStr">
        <is>
          <t>PKLN</t>
        </is>
      </c>
      <c r="F845" s="661" t="inlineStr">
        <is>
          <t>U 2 WALL CORRUGATE 1626X480 UN</t>
        </is>
      </c>
      <c r="G845" s="662" t="inlineStr">
        <is>
          <t>D</t>
        </is>
      </c>
      <c r="L845" s="663" t="e">
        <v>#REF!</v>
      </c>
    </row>
    <row r="846">
      <c r="B846" s="659" t="n">
        <v>900855</v>
      </c>
      <c r="C846" s="661" t="inlineStr">
        <is>
          <t>2063A</t>
        </is>
      </c>
      <c r="D846" s="661" t="inlineStr">
        <is>
          <t>YFY</t>
        </is>
      </c>
      <c r="E846" s="661" t="inlineStr">
        <is>
          <t>PKLN</t>
        </is>
      </c>
      <c r="F846" s="661" t="inlineStr">
        <is>
          <t>U 2 WALL CORRUGATE 1626X439 UN</t>
        </is>
      </c>
      <c r="G846" s="662" t="inlineStr">
        <is>
          <t>D</t>
        </is>
      </c>
      <c r="L846" s="663" t="e">
        <v>#REF!</v>
      </c>
    </row>
    <row r="847">
      <c r="B847" s="659" t="n">
        <v>900856</v>
      </c>
      <c r="C847" s="661" t="inlineStr">
        <is>
          <t>2063A</t>
        </is>
      </c>
      <c r="D847" s="661" t="inlineStr">
        <is>
          <t>YFY</t>
        </is>
      </c>
      <c r="E847" s="661" t="inlineStr">
        <is>
          <t>PKLN</t>
        </is>
      </c>
      <c r="F847" s="661" t="inlineStr">
        <is>
          <t>U 2 WALL CORRUGATE 1626X391 UN</t>
        </is>
      </c>
      <c r="G847" s="662" t="inlineStr">
        <is>
          <t>D</t>
        </is>
      </c>
      <c r="L847" s="663" t="e">
        <v>#REF!</v>
      </c>
    </row>
    <row r="848">
      <c r="B848" s="659" t="n">
        <v>900967</v>
      </c>
      <c r="C848" s="661" t="inlineStr">
        <is>
          <t>2047A</t>
        </is>
      </c>
      <c r="D848" s="661" t="inlineStr">
        <is>
          <t>NHU QUYNH</t>
        </is>
      </c>
      <c r="E848" s="661" t="inlineStr">
        <is>
          <t>RCT</t>
        </is>
      </c>
      <c r="F848" s="661" t="inlineStr">
        <is>
          <t>RSC-UN-37X37X24INCH</t>
        </is>
      </c>
      <c r="G848" s="662" t="inlineStr">
        <is>
          <t>D</t>
        </is>
      </c>
      <c r="L848" s="663" t="e">
        <v>#REF!</v>
      </c>
    </row>
    <row r="849">
      <c r="B849" s="659" t="n">
        <v>900968</v>
      </c>
      <c r="C849" s="661" t="inlineStr">
        <is>
          <t>2063A</t>
        </is>
      </c>
      <c r="D849" s="661" t="inlineStr">
        <is>
          <t>YFY</t>
        </is>
      </c>
      <c r="E849" s="661" t="inlineStr">
        <is>
          <t>PKLN</t>
        </is>
      </c>
      <c r="F849" s="661" t="inlineStr">
        <is>
          <t>U 2 WALL CORRUGATE 1842X589 UN</t>
        </is>
      </c>
      <c r="G849" s="662" t="inlineStr">
        <is>
          <t>D</t>
        </is>
      </c>
      <c r="L849" s="663" t="e">
        <v>#REF!</v>
      </c>
    </row>
    <row r="850">
      <c r="B850" s="659" t="n">
        <v>900971</v>
      </c>
      <c r="C850" s="661" t="inlineStr">
        <is>
          <t>2065A</t>
        </is>
      </c>
      <c r="D850" s="661" t="inlineStr">
        <is>
          <t>HAN QUOC</t>
        </is>
      </c>
      <c r="E850" s="661" t="inlineStr">
        <is>
          <t>BAGE</t>
        </is>
      </c>
      <c r="F850" s="661" t="inlineStr">
        <is>
          <t>BUBBLE BAG 850X100MM</t>
        </is>
      </c>
      <c r="G850" s="662" t="inlineStr">
        <is>
          <t>D</t>
        </is>
      </c>
      <c r="L850" s="663" t="e">
        <v>#REF!</v>
      </c>
    </row>
    <row r="851">
      <c r="B851" s="659" t="n">
        <v>900972</v>
      </c>
      <c r="C851" s="661" t="inlineStr">
        <is>
          <t>2065A</t>
        </is>
      </c>
      <c r="D851" s="661" t="inlineStr">
        <is>
          <t>HAN QUOC</t>
        </is>
      </c>
      <c r="E851" s="661" t="inlineStr">
        <is>
          <t>BAGE</t>
        </is>
      </c>
      <c r="F851" s="661" t="inlineStr">
        <is>
          <t>BUBBLE BAG 1800X150MM</t>
        </is>
      </c>
      <c r="G851" s="662" t="inlineStr">
        <is>
          <t>D</t>
        </is>
      </c>
      <c r="L851" s="663" t="e">
        <v>#REF!</v>
      </c>
    </row>
    <row r="852">
      <c r="B852" s="659" t="n">
        <v>900973</v>
      </c>
      <c r="C852" s="661" t="inlineStr">
        <is>
          <t>2065A</t>
        </is>
      </c>
      <c r="D852" s="661" t="inlineStr">
        <is>
          <t>HAN QUOC</t>
        </is>
      </c>
      <c r="E852" s="661" t="inlineStr">
        <is>
          <t>BAGE</t>
        </is>
      </c>
      <c r="F852" s="661" t="inlineStr">
        <is>
          <t>BUBBLE BAG 1200X150MM</t>
        </is>
      </c>
      <c r="G852" s="662" t="inlineStr">
        <is>
          <t>D</t>
        </is>
      </c>
      <c r="L852" s="663" t="e">
        <v>#REF!</v>
      </c>
    </row>
    <row r="853">
      <c r="B853" s="659" t="n">
        <v>901014</v>
      </c>
      <c r="C853" s="661" t="inlineStr">
        <is>
          <t>2065A</t>
        </is>
      </c>
      <c r="D853" s="661" t="inlineStr">
        <is>
          <t>HAN QUOC</t>
        </is>
      </c>
      <c r="E853" s="661" t="inlineStr">
        <is>
          <t>BAGE</t>
        </is>
      </c>
      <c r="F853" s="661" t="inlineStr">
        <is>
          <t>BUBBLE BAG 850X200MM</t>
        </is>
      </c>
      <c r="G853" s="662" t="inlineStr">
        <is>
          <t>D</t>
        </is>
      </c>
      <c r="L853" s="663" t="e">
        <v>#REF!</v>
      </c>
    </row>
    <row r="854">
      <c r="B854" s="659" t="n">
        <v>901022</v>
      </c>
      <c r="C854" s="661" t="inlineStr">
        <is>
          <t>2047A</t>
        </is>
      </c>
      <c r="D854" s="661" t="inlineStr">
        <is>
          <t>NHU QUYNH</t>
        </is>
      </c>
      <c r="E854" s="661" t="inlineStr">
        <is>
          <t>RCT</t>
        </is>
      </c>
      <c r="F854" s="661" t="inlineStr">
        <is>
          <t>RSC-PN-650X410X295MM</t>
        </is>
      </c>
      <c r="G854" s="662" t="inlineStr">
        <is>
          <t>D</t>
        </is>
      </c>
      <c r="L854" s="663" t="e">
        <v>#REF!</v>
      </c>
    </row>
    <row r="855">
      <c r="B855" s="659" t="n">
        <v>901023</v>
      </c>
      <c r="C855" s="661" t="inlineStr">
        <is>
          <t>2047A</t>
        </is>
      </c>
      <c r="D855" s="661" t="inlineStr">
        <is>
          <t>NHU QUYNH</t>
        </is>
      </c>
      <c r="E855" s="661" t="inlineStr">
        <is>
          <t>RCT</t>
        </is>
      </c>
      <c r="F855" s="661" t="inlineStr">
        <is>
          <t>TELE-PN-1210X595X190MM</t>
        </is>
      </c>
      <c r="G855" s="662" t="inlineStr">
        <is>
          <t>D</t>
        </is>
      </c>
      <c r="L855" s="663" t="e">
        <v>#REF!</v>
      </c>
    </row>
    <row r="856">
      <c r="B856" s="659" t="n">
        <v>901024</v>
      </c>
      <c r="C856" s="661" t="inlineStr">
        <is>
          <t>2047A</t>
        </is>
      </c>
      <c r="D856" s="661" t="inlineStr">
        <is>
          <t>NHU QUYNH</t>
        </is>
      </c>
      <c r="E856" s="661" t="inlineStr">
        <is>
          <t>RCT</t>
        </is>
      </c>
      <c r="F856" s="661" t="inlineStr">
        <is>
          <t>RSC-PN-525X340X240MM</t>
        </is>
      </c>
      <c r="G856" s="662" t="inlineStr">
        <is>
          <t>D</t>
        </is>
      </c>
      <c r="L856" s="663" t="e">
        <v>#REF!</v>
      </c>
    </row>
    <row r="857">
      <c r="B857" s="659" t="n">
        <v>901025</v>
      </c>
      <c r="C857" s="661" t="inlineStr">
        <is>
          <t>2047A</t>
        </is>
      </c>
      <c r="D857" s="661" t="inlineStr">
        <is>
          <t>NHU QUYNH</t>
        </is>
      </c>
      <c r="E857" s="661" t="inlineStr">
        <is>
          <t>RCT</t>
        </is>
      </c>
      <c r="F857" s="661" t="inlineStr">
        <is>
          <t>RSC-PN-1280X260X190MM</t>
        </is>
      </c>
      <c r="G857" s="662" t="inlineStr">
        <is>
          <t>D</t>
        </is>
      </c>
      <c r="L857" s="663" t="e">
        <v>#REF!</v>
      </c>
    </row>
    <row r="858">
      <c r="B858" s="659" t="n">
        <v>901026</v>
      </c>
      <c r="C858" s="661" t="inlineStr">
        <is>
          <t>2047A</t>
        </is>
      </c>
      <c r="D858" s="661" t="inlineStr">
        <is>
          <t>NHU QUYNH</t>
        </is>
      </c>
      <c r="E858" s="661" t="inlineStr">
        <is>
          <t>RCT</t>
        </is>
      </c>
      <c r="F858" s="661" t="inlineStr">
        <is>
          <t>RSC-PN-890X435X215MM</t>
        </is>
      </c>
      <c r="G858" s="662" t="inlineStr">
        <is>
          <t>D</t>
        </is>
      </c>
      <c r="L858" s="663" t="e">
        <v>#REF!</v>
      </c>
    </row>
    <row r="859">
      <c r="B859" s="659" t="n">
        <v>901027</v>
      </c>
      <c r="C859" s="661" t="inlineStr">
        <is>
          <t>2047A</t>
        </is>
      </c>
      <c r="D859" s="661" t="inlineStr">
        <is>
          <t>NHU QUYNH</t>
        </is>
      </c>
      <c r="E859" s="661" t="inlineStr">
        <is>
          <t>RCT</t>
        </is>
      </c>
      <c r="F859" s="661" t="inlineStr">
        <is>
          <t>RSC-PN-780X435X215MM</t>
        </is>
      </c>
      <c r="G859" s="662" t="inlineStr">
        <is>
          <t>D</t>
        </is>
      </c>
      <c r="L859" s="663" t="e">
        <v>#REF!</v>
      </c>
    </row>
    <row r="860">
      <c r="B860" s="659" t="n">
        <v>901028</v>
      </c>
      <c r="C860" s="661" t="inlineStr">
        <is>
          <t>2047A</t>
        </is>
      </c>
      <c r="D860" s="661" t="inlineStr">
        <is>
          <t>NHU QUYNH</t>
        </is>
      </c>
      <c r="E860" s="661" t="inlineStr">
        <is>
          <t>RCT</t>
        </is>
      </c>
      <c r="F860" s="661" t="inlineStr">
        <is>
          <t>RSC-PN-990X440X220MM</t>
        </is>
      </c>
      <c r="G860" s="662" t="inlineStr">
        <is>
          <t>D</t>
        </is>
      </c>
      <c r="L860" s="663" t="e">
        <v>#REF!</v>
      </c>
    </row>
    <row r="861">
      <c r="B861" s="659" t="n">
        <v>901030</v>
      </c>
      <c r="C861" s="661" t="inlineStr">
        <is>
          <t>2047A</t>
        </is>
      </c>
      <c r="D861" s="661" t="inlineStr">
        <is>
          <t>NHU QUYNH</t>
        </is>
      </c>
      <c r="E861" s="661" t="inlineStr">
        <is>
          <t>RCT</t>
        </is>
      </c>
      <c r="F861" s="661" t="inlineStr">
        <is>
          <t>RSC-PN-1620X310X160MM</t>
        </is>
      </c>
      <c r="G861" s="662" t="inlineStr">
        <is>
          <t>D</t>
        </is>
      </c>
      <c r="L861" s="663" t="e">
        <v>#REF!</v>
      </c>
    </row>
    <row r="862">
      <c r="B862" s="659" t="n">
        <v>901031</v>
      </c>
      <c r="C862" s="661" t="inlineStr">
        <is>
          <t>2047A</t>
        </is>
      </c>
      <c r="D862" s="661" t="inlineStr">
        <is>
          <t>NHU QUYNH</t>
        </is>
      </c>
      <c r="E862" s="661" t="inlineStr">
        <is>
          <t>RCT</t>
        </is>
      </c>
      <c r="F862" s="661" t="inlineStr">
        <is>
          <t>RSC-PN-1920X310X160MM</t>
        </is>
      </c>
      <c r="G862" s="662" t="inlineStr">
        <is>
          <t>D</t>
        </is>
      </c>
      <c r="L862" s="663" t="e">
        <v>#REF!</v>
      </c>
    </row>
    <row r="863">
      <c r="B863" s="659" t="n">
        <v>901041</v>
      </c>
      <c r="C863" s="661" t="inlineStr">
        <is>
          <t>2063A</t>
        </is>
      </c>
      <c r="D863" s="661" t="inlineStr">
        <is>
          <t>YFY</t>
        </is>
      </c>
      <c r="E863" s="661" t="inlineStr">
        <is>
          <t>PKLN</t>
        </is>
      </c>
      <c r="F863" s="661" t="inlineStr">
        <is>
          <t>1 WALL CORRU B 1265X250MM</t>
        </is>
      </c>
      <c r="G863" s="662" t="inlineStr">
        <is>
          <t>D</t>
        </is>
      </c>
      <c r="L863" s="663" t="e">
        <v>#REF!</v>
      </c>
    </row>
    <row r="864">
      <c r="B864" s="659" t="n">
        <v>901042</v>
      </c>
      <c r="C864" s="661" t="inlineStr">
        <is>
          <t>2063A</t>
        </is>
      </c>
      <c r="D864" s="661" t="inlineStr">
        <is>
          <t>YFY</t>
        </is>
      </c>
      <c r="E864" s="661" t="inlineStr">
        <is>
          <t>PKLN</t>
        </is>
      </c>
      <c r="F864" s="661" t="inlineStr">
        <is>
          <t>U 1 WALL CORRU B 1505X160MM</t>
        </is>
      </c>
      <c r="G864" s="662" t="inlineStr">
        <is>
          <t>D</t>
        </is>
      </c>
      <c r="L864" s="663" t="e">
        <v>#REF!</v>
      </c>
    </row>
    <row r="865">
      <c r="B865" s="659" t="n">
        <v>901050</v>
      </c>
      <c r="C865" s="661" t="inlineStr">
        <is>
          <t>2063A</t>
        </is>
      </c>
      <c r="D865" s="661" t="inlineStr">
        <is>
          <t>YFY</t>
        </is>
      </c>
      <c r="E865" s="661" t="inlineStr">
        <is>
          <t>PKLN</t>
        </is>
      </c>
      <c r="F865" s="661" t="inlineStr">
        <is>
          <t>1 WALL CORRU B 975X430MM</t>
        </is>
      </c>
      <c r="G865" s="662" t="inlineStr">
        <is>
          <t>D</t>
        </is>
      </c>
      <c r="L865" s="663" t="e">
        <v>#REF!</v>
      </c>
    </row>
    <row r="866">
      <c r="B866" s="659" t="n">
        <v>901051</v>
      </c>
      <c r="C866" s="661" t="inlineStr">
        <is>
          <t>2063A</t>
        </is>
      </c>
      <c r="D866" s="661" t="inlineStr">
        <is>
          <t>YFY</t>
        </is>
      </c>
      <c r="E866" s="661" t="inlineStr">
        <is>
          <t>PKLN</t>
        </is>
      </c>
      <c r="F866" s="661" t="inlineStr">
        <is>
          <t>U 1 WALL CORRU B 1395X190MM</t>
        </is>
      </c>
      <c r="G866" s="662" t="inlineStr">
        <is>
          <t>D</t>
        </is>
      </c>
      <c r="L866" s="663" t="e">
        <v>#REF!</v>
      </c>
    </row>
    <row r="867">
      <c r="B867" s="659" t="n">
        <v>901056</v>
      </c>
      <c r="C867" s="661" t="inlineStr">
        <is>
          <t>2063A</t>
        </is>
      </c>
      <c r="D867" s="661" t="inlineStr">
        <is>
          <t>YFY</t>
        </is>
      </c>
      <c r="E867" s="661" t="inlineStr">
        <is>
          <t>PKLN</t>
        </is>
      </c>
      <c r="F867" s="661" t="inlineStr">
        <is>
          <t>1 WALL CORRU B 1605X300MM</t>
        </is>
      </c>
      <c r="G867" s="662" t="inlineStr">
        <is>
          <t>D</t>
        </is>
      </c>
      <c r="L867" s="663" t="e">
        <v>#REF!</v>
      </c>
    </row>
    <row r="868">
      <c r="B868" s="659" t="n">
        <v>901057</v>
      </c>
      <c r="C868" s="661" t="inlineStr">
        <is>
          <t>2063A</t>
        </is>
      </c>
      <c r="D868" s="661" t="inlineStr">
        <is>
          <t>YFY</t>
        </is>
      </c>
      <c r="E868" s="661" t="inlineStr">
        <is>
          <t>PKLN</t>
        </is>
      </c>
      <c r="F868" s="661" t="inlineStr">
        <is>
          <t>U 1 WALL CORRU B 1895X130MM</t>
        </is>
      </c>
      <c r="G868" s="662" t="inlineStr">
        <is>
          <t>D</t>
        </is>
      </c>
      <c r="L868" s="663" t="e">
        <v>#REF!</v>
      </c>
    </row>
    <row r="869">
      <c r="B869" s="659" t="n">
        <v>901059</v>
      </c>
      <c r="C869" s="661" t="inlineStr">
        <is>
          <t>2063A</t>
        </is>
      </c>
      <c r="D869" s="661" t="inlineStr">
        <is>
          <t>YFY</t>
        </is>
      </c>
      <c r="E869" s="661" t="inlineStr">
        <is>
          <t>PKLN</t>
        </is>
      </c>
      <c r="F869" s="661" t="inlineStr">
        <is>
          <t>1 WALL CORRU B 1905X300MM</t>
        </is>
      </c>
      <c r="G869" s="662" t="inlineStr">
        <is>
          <t>D</t>
        </is>
      </c>
      <c r="L869" s="663" t="e">
        <v>#REF!</v>
      </c>
    </row>
    <row r="870">
      <c r="B870" s="659" t="n">
        <v>901060</v>
      </c>
      <c r="C870" s="661" t="inlineStr">
        <is>
          <t>2063A</t>
        </is>
      </c>
      <c r="D870" s="661" t="inlineStr">
        <is>
          <t>YFY</t>
        </is>
      </c>
      <c r="E870" s="661" t="inlineStr">
        <is>
          <t>PKLN</t>
        </is>
      </c>
      <c r="F870" s="661" t="inlineStr">
        <is>
          <t>U 1 WALL CORRU B 2195X130MM</t>
        </is>
      </c>
      <c r="G870" s="662" t="inlineStr">
        <is>
          <t>D</t>
        </is>
      </c>
      <c r="L870" s="663" t="e">
        <v>#REF!</v>
      </c>
    </row>
    <row r="871">
      <c r="B871" s="659" t="n">
        <v>901064</v>
      </c>
      <c r="C871" s="661" t="inlineStr">
        <is>
          <t>2047A</t>
        </is>
      </c>
      <c r="D871" s="661" t="inlineStr">
        <is>
          <t>NHU QUYNH</t>
        </is>
      </c>
      <c r="E871" s="661" t="inlineStr">
        <is>
          <t>RCT</t>
        </is>
      </c>
      <c r="F871" s="661" t="inlineStr">
        <is>
          <t>TELE-PN-1520X450X150MM</t>
        </is>
      </c>
      <c r="G871" s="662" t="inlineStr">
        <is>
          <t>D</t>
        </is>
      </c>
      <c r="L871" s="663" t="e">
        <v>#REF!</v>
      </c>
    </row>
    <row r="872">
      <c r="B872" s="659" t="n">
        <v>901065</v>
      </c>
      <c r="C872" s="661" t="inlineStr">
        <is>
          <t>2047A</t>
        </is>
      </c>
      <c r="D872" s="661" t="inlineStr">
        <is>
          <t>NHU QUYNH</t>
        </is>
      </c>
      <c r="E872" s="661" t="inlineStr">
        <is>
          <t>RCT</t>
        </is>
      </c>
      <c r="F872" s="661" t="inlineStr">
        <is>
          <t>TELE-PN-1220X450X150MM</t>
        </is>
      </c>
      <c r="G872" s="662" t="inlineStr">
        <is>
          <t>D</t>
        </is>
      </c>
      <c r="L872" s="663" t="e">
        <v>#REF!</v>
      </c>
    </row>
    <row r="873">
      <c r="B873" s="659" t="n">
        <v>901073</v>
      </c>
      <c r="C873" s="661" t="inlineStr">
        <is>
          <t>2065A</t>
        </is>
      </c>
      <c r="D873" s="661" t="inlineStr">
        <is>
          <t>HAN QUOC</t>
        </is>
      </c>
      <c r="E873" s="661" t="inlineStr">
        <is>
          <t>BAGE</t>
        </is>
      </c>
      <c r="F873" s="661" t="inlineStr">
        <is>
          <t>BUBBLE BAG 600X150MM</t>
        </is>
      </c>
      <c r="G873" s="662" t="inlineStr">
        <is>
          <t>D</t>
        </is>
      </c>
      <c r="L873" s="663" t="e">
        <v>#REF!</v>
      </c>
    </row>
    <row r="874">
      <c r="B874" s="659" t="n">
        <v>901074</v>
      </c>
      <c r="C874" s="661" t="inlineStr">
        <is>
          <t>2065A</t>
        </is>
      </c>
      <c r="D874" s="661" t="inlineStr">
        <is>
          <t>HAN QUOC</t>
        </is>
      </c>
      <c r="E874" s="661" t="inlineStr">
        <is>
          <t>BAGE</t>
        </is>
      </c>
      <c r="F874" s="661" t="inlineStr">
        <is>
          <t>BUBBLE BAG 410X110MM</t>
        </is>
      </c>
      <c r="G874" s="662" t="inlineStr">
        <is>
          <t>D</t>
        </is>
      </c>
      <c r="L874" s="663" t="e">
        <v>#REF!</v>
      </c>
    </row>
    <row r="875">
      <c r="B875" s="659" t="n">
        <v>901075</v>
      </c>
      <c r="C875" s="661" t="inlineStr">
        <is>
          <t>2065A</t>
        </is>
      </c>
      <c r="D875" s="661" t="inlineStr">
        <is>
          <t>HAN QUOC</t>
        </is>
      </c>
      <c r="E875" s="661" t="inlineStr">
        <is>
          <t>BAGE</t>
        </is>
      </c>
      <c r="F875" s="661" t="inlineStr">
        <is>
          <t>BUBBLE BAG 1000X150MM</t>
        </is>
      </c>
      <c r="G875" s="662" t="inlineStr">
        <is>
          <t>D</t>
        </is>
      </c>
      <c r="L875" s="663" t="e">
        <v>#REF!</v>
      </c>
    </row>
    <row r="876">
      <c r="B876" s="659" t="n">
        <v>901076</v>
      </c>
      <c r="C876" s="661" t="inlineStr">
        <is>
          <t>2065A</t>
        </is>
      </c>
      <c r="D876" s="661" t="inlineStr">
        <is>
          <t>HAN QUOC</t>
        </is>
      </c>
      <c r="E876" s="661" t="inlineStr">
        <is>
          <t>BAGE</t>
        </is>
      </c>
      <c r="F876" s="661" t="inlineStr">
        <is>
          <t>BUBBLE BAG 800X150MM</t>
        </is>
      </c>
      <c r="G876" s="662" t="inlineStr">
        <is>
          <t>D</t>
        </is>
      </c>
      <c r="L876" s="663" t="e">
        <v>#REF!</v>
      </c>
    </row>
    <row r="877">
      <c r="B877" s="659" t="n">
        <v>901077</v>
      </c>
      <c r="C877" s="661" t="inlineStr">
        <is>
          <t>2065A</t>
        </is>
      </c>
      <c r="D877" s="661" t="inlineStr">
        <is>
          <t>HAN QUOC</t>
        </is>
      </c>
      <c r="E877" s="661" t="inlineStr">
        <is>
          <t>BAGE</t>
        </is>
      </c>
      <c r="F877" s="661" t="inlineStr">
        <is>
          <t>BUBBLE BAG 1050X150MM</t>
        </is>
      </c>
      <c r="G877" s="662" t="inlineStr">
        <is>
          <t>D</t>
        </is>
      </c>
      <c r="L877" s="663" t="e">
        <v>#REF!</v>
      </c>
    </row>
    <row r="878">
      <c r="B878" s="659" t="n">
        <v>901079</v>
      </c>
      <c r="C878" s="661" t="inlineStr">
        <is>
          <t>2065A</t>
        </is>
      </c>
      <c r="D878" s="661" t="inlineStr">
        <is>
          <t>HAN QUOC</t>
        </is>
      </c>
      <c r="E878" s="661" t="inlineStr">
        <is>
          <t>BAGE</t>
        </is>
      </c>
      <c r="F878" s="661" t="inlineStr">
        <is>
          <t>BUBBLE BAG 1650X150MM</t>
        </is>
      </c>
      <c r="G878" s="662" t="inlineStr">
        <is>
          <t>D</t>
        </is>
      </c>
      <c r="L878" s="663" t="e">
        <v>#REF!</v>
      </c>
    </row>
    <row r="879">
      <c r="B879" s="659" t="n">
        <v>901080</v>
      </c>
      <c r="C879" s="661" t="inlineStr">
        <is>
          <t>2065A</t>
        </is>
      </c>
      <c r="D879" s="661" t="inlineStr">
        <is>
          <t>HAN QUOC</t>
        </is>
      </c>
      <c r="E879" s="661" t="inlineStr">
        <is>
          <t>BAGE</t>
        </is>
      </c>
      <c r="F879" s="661" t="inlineStr">
        <is>
          <t>BUBBLE BAG 2000X150MM</t>
        </is>
      </c>
      <c r="G879" s="662" t="inlineStr">
        <is>
          <t>D</t>
        </is>
      </c>
      <c r="L879" s="663" t="e">
        <v>#REF!</v>
      </c>
    </row>
    <row r="880">
      <c r="B880" s="659" t="n">
        <v>901081</v>
      </c>
      <c r="C880" s="661" t="inlineStr">
        <is>
          <t>2065A</t>
        </is>
      </c>
      <c r="D880" s="661" t="inlineStr">
        <is>
          <t>HAN QUOC</t>
        </is>
      </c>
      <c r="E880" s="661" t="inlineStr">
        <is>
          <t>BAGE</t>
        </is>
      </c>
      <c r="F880" s="661" t="inlineStr">
        <is>
          <t>BUBBLE BAG 1550X150MM</t>
        </is>
      </c>
      <c r="G880" s="662" t="inlineStr">
        <is>
          <t>D</t>
        </is>
      </c>
      <c r="L880" s="663" t="e">
        <v>#REF!</v>
      </c>
    </row>
    <row r="881">
      <c r="B881" s="659" t="n">
        <v>901098</v>
      </c>
      <c r="C881" s="661" t="inlineStr">
        <is>
          <t>2047A</t>
        </is>
      </c>
      <c r="D881" s="661" t="inlineStr">
        <is>
          <t>NHU QUYNH</t>
        </is>
      </c>
      <c r="E881" s="661" t="inlineStr">
        <is>
          <t>RCT</t>
        </is>
      </c>
      <c r="F881" s="661" t="inlineStr">
        <is>
          <t>Tele-Un-37x37x12inch</t>
        </is>
      </c>
      <c r="G881" s="662" t="inlineStr">
        <is>
          <t>D</t>
        </is>
      </c>
      <c r="L881" s="663" t="e">
        <v>#REF!</v>
      </c>
    </row>
    <row r="882">
      <c r="B882" s="659" t="n">
        <v>901125</v>
      </c>
      <c r="C882" s="661" t="inlineStr">
        <is>
          <t>2065A</t>
        </is>
      </c>
      <c r="D882" s="661" t="inlineStr">
        <is>
          <t>HAN QUOC</t>
        </is>
      </c>
      <c r="E882" s="661" t="inlineStr">
        <is>
          <t>BAGE</t>
        </is>
      </c>
      <c r="F882" s="661" t="inlineStr">
        <is>
          <t>BUBBLE BAG 400X200MM</t>
        </is>
      </c>
      <c r="G882" s="662" t="inlineStr">
        <is>
          <t>D</t>
        </is>
      </c>
      <c r="L882" s="663" t="e">
        <v>#REF!</v>
      </c>
    </row>
    <row r="883">
      <c r="B883" s="659" t="n">
        <v>901126</v>
      </c>
      <c r="C883" s="661" t="inlineStr">
        <is>
          <t>2065A</t>
        </is>
      </c>
      <c r="D883" s="661" t="inlineStr">
        <is>
          <t>HAN QUOC</t>
        </is>
      </c>
      <c r="E883" s="661" t="inlineStr">
        <is>
          <t>BAGE</t>
        </is>
      </c>
      <c r="F883" s="661" t="inlineStr">
        <is>
          <t>BUBBLE BAG 500X200MM</t>
        </is>
      </c>
      <c r="G883" s="662" t="inlineStr">
        <is>
          <t>D</t>
        </is>
      </c>
      <c r="L883" s="663" t="e">
        <v>#REF!</v>
      </c>
    </row>
    <row r="884">
      <c r="B884" s="659" t="n">
        <v>901137</v>
      </c>
      <c r="C884" s="661" t="inlineStr">
        <is>
          <t>2065A</t>
        </is>
      </c>
      <c r="D884" s="661" t="inlineStr">
        <is>
          <t>HAN QUOC</t>
        </is>
      </c>
      <c r="E884" s="661" t="inlineStr">
        <is>
          <t>BAGE</t>
        </is>
      </c>
      <c r="F884" s="661" t="inlineStr">
        <is>
          <t>BUBBLE BAG 150X150MM-1</t>
        </is>
      </c>
      <c r="G884" s="662" t="inlineStr">
        <is>
          <t>D</t>
        </is>
      </c>
      <c r="L884" s="663" t="e">
        <v>#REF!</v>
      </c>
    </row>
    <row r="885">
      <c r="B885" s="659" t="n">
        <v>901142</v>
      </c>
      <c r="C885" s="661" t="inlineStr">
        <is>
          <t>2065A</t>
        </is>
      </c>
      <c r="D885" s="661" t="inlineStr">
        <is>
          <t>HAN QUOC</t>
        </is>
      </c>
      <c r="E885" s="661" t="inlineStr">
        <is>
          <t>BAGE</t>
        </is>
      </c>
      <c r="F885" s="661" t="inlineStr">
        <is>
          <t>BUBBLE BAG 2150X200MM</t>
        </is>
      </c>
      <c r="G885" s="662" t="inlineStr">
        <is>
          <t>D</t>
        </is>
      </c>
      <c r="L885" s="663" t="e">
        <v>#REF!</v>
      </c>
    </row>
    <row r="886">
      <c r="B886" s="659" t="n">
        <v>901146</v>
      </c>
      <c r="C886" s="661" t="inlineStr">
        <is>
          <t>2065A</t>
        </is>
      </c>
      <c r="D886" s="661" t="inlineStr">
        <is>
          <t>HAN QUOC</t>
        </is>
      </c>
      <c r="E886" s="661" t="inlineStr">
        <is>
          <t>BAGE</t>
        </is>
      </c>
      <c r="F886" s="661" t="inlineStr">
        <is>
          <t>BUBBLE BAG 500X150MM</t>
        </is>
      </c>
      <c r="G886" s="662" t="inlineStr">
        <is>
          <t>D</t>
        </is>
      </c>
      <c r="L886" s="663" t="e">
        <v>#REF!</v>
      </c>
    </row>
    <row r="887">
      <c r="B887" s="659" t="n">
        <v>901147</v>
      </c>
      <c r="C887" s="661" t="inlineStr">
        <is>
          <t>2047A</t>
        </is>
      </c>
      <c r="D887" s="661" t="inlineStr">
        <is>
          <t>NHU QUYNH</t>
        </is>
      </c>
      <c r="E887" s="661" t="inlineStr">
        <is>
          <t>RCT</t>
        </is>
      </c>
      <c r="F887" s="661" t="inlineStr">
        <is>
          <t>RSC-PN-485X435X335MM</t>
        </is>
      </c>
      <c r="G887" s="662" t="inlineStr">
        <is>
          <t>D</t>
        </is>
      </c>
      <c r="L887" s="663" t="e">
        <v>#REF!</v>
      </c>
    </row>
    <row r="888">
      <c r="B888" s="659" t="n">
        <v>901180</v>
      </c>
      <c r="C888" s="661" t="inlineStr">
        <is>
          <t>2065A</t>
        </is>
      </c>
      <c r="D888" s="661" t="inlineStr">
        <is>
          <t>HAN QUOC</t>
        </is>
      </c>
      <c r="E888" s="661" t="inlineStr">
        <is>
          <t>BAGE</t>
        </is>
      </c>
      <c r="F888" s="661" t="inlineStr">
        <is>
          <t>BUBBLE BAG 750X200MM</t>
        </is>
      </c>
      <c r="G888" s="662" t="inlineStr">
        <is>
          <t>D</t>
        </is>
      </c>
      <c r="L888" s="663" t="e">
        <v>#REF!</v>
      </c>
    </row>
    <row r="889">
      <c r="B889" s="659" t="n">
        <v>901182</v>
      </c>
      <c r="C889" s="661" t="inlineStr">
        <is>
          <t>2036A</t>
        </is>
      </c>
      <c r="D889" s="661" t="inlineStr">
        <is>
          <t>TIEN THANH</t>
        </is>
      </c>
      <c r="E889" s="661" t="inlineStr">
        <is>
          <t>BAGE</t>
        </is>
      </c>
      <c r="F889" s="661" t="inlineStr">
        <is>
          <t>PE BAG 350X350MM</t>
        </is>
      </c>
      <c r="G889" s="662" t="inlineStr">
        <is>
          <t>D</t>
        </is>
      </c>
      <c r="L889" s="663" t="e">
        <v>#REF!</v>
      </c>
    </row>
    <row r="890">
      <c r="B890" s="659" t="n">
        <v>901580</v>
      </c>
      <c r="C890" s="661" t="inlineStr">
        <is>
          <t>2047A</t>
        </is>
      </c>
      <c r="D890" s="661" t="inlineStr">
        <is>
          <t>NHU QUYNH</t>
        </is>
      </c>
      <c r="E890" s="661" t="inlineStr">
        <is>
          <t>RCT</t>
        </is>
      </c>
      <c r="F890" s="661" t="inlineStr">
        <is>
          <t>RSC-PN-1280X280X270MM</t>
        </is>
      </c>
      <c r="G890" s="662" t="inlineStr">
        <is>
          <t>D</t>
        </is>
      </c>
      <c r="L890" s="663" t="e">
        <v>#REF!</v>
      </c>
    </row>
    <row r="891">
      <c r="B891" s="659" t="n">
        <v>901581</v>
      </c>
      <c r="C891" s="661" t="inlineStr">
        <is>
          <t>2063A</t>
        </is>
      </c>
      <c r="D891" s="661" t="inlineStr">
        <is>
          <t>YFY</t>
        </is>
      </c>
      <c r="E891" s="661" t="inlineStr">
        <is>
          <t>PKLN</t>
        </is>
      </c>
      <c r="F891" s="661" t="inlineStr">
        <is>
          <t>1 WALL CORRU CB 1270X265MM</t>
        </is>
      </c>
      <c r="G891" s="662" t="inlineStr">
        <is>
          <t>D</t>
        </is>
      </c>
      <c r="L891" s="663" t="e">
        <v>#REF!</v>
      </c>
    </row>
    <row r="892">
      <c r="B892" s="659" t="n">
        <v>901582</v>
      </c>
      <c r="C892" s="661" t="inlineStr">
        <is>
          <t>2063A</t>
        </is>
      </c>
      <c r="D892" s="661" t="inlineStr">
        <is>
          <t>YFY</t>
        </is>
      </c>
      <c r="E892" s="661" t="inlineStr">
        <is>
          <t>PKLN</t>
        </is>
      </c>
      <c r="F892" s="661" t="inlineStr">
        <is>
          <t>U 1 WALL CORRU CB 1525X240MM</t>
        </is>
      </c>
      <c r="G892" s="662" t="inlineStr">
        <is>
          <t>D</t>
        </is>
      </c>
      <c r="L892" s="663" t="e">
        <v>#REF!</v>
      </c>
    </row>
    <row r="893">
      <c r="B893" s="659" t="n">
        <v>901593</v>
      </c>
      <c r="C893" s="661" t="inlineStr">
        <is>
          <t>2065A</t>
        </is>
      </c>
      <c r="D893" s="661" t="inlineStr">
        <is>
          <t>HAN QUOC</t>
        </is>
      </c>
      <c r="E893" s="661" t="inlineStr">
        <is>
          <t>BAGE</t>
        </is>
      </c>
      <c r="F893" s="661" t="inlineStr">
        <is>
          <t>BUBBLE BAG 600X100MM</t>
        </is>
      </c>
      <c r="G893" s="662" t="inlineStr">
        <is>
          <t>D</t>
        </is>
      </c>
      <c r="L893" s="663" t="e">
        <v>#REF!</v>
      </c>
    </row>
    <row r="894">
      <c r="B894" s="659" t="n">
        <v>901642</v>
      </c>
      <c r="C894" s="661" t="inlineStr">
        <is>
          <t>2047A</t>
        </is>
      </c>
      <c r="D894" s="661" t="inlineStr">
        <is>
          <t>NHU QUYNH</t>
        </is>
      </c>
      <c r="E894" s="661" t="inlineStr">
        <is>
          <t>RCT</t>
        </is>
      </c>
      <c r="F894" s="661" t="inlineStr">
        <is>
          <t>TELE-UN-45X35X5.25INCH</t>
        </is>
      </c>
      <c r="G894" s="662" t="inlineStr">
        <is>
          <t>D</t>
        </is>
      </c>
      <c r="L894" s="663" t="e">
        <v>#REF!</v>
      </c>
    </row>
    <row r="895">
      <c r="B895" s="659" t="n">
        <v>901653</v>
      </c>
      <c r="C895" s="661" t="inlineStr">
        <is>
          <t>2060A</t>
        </is>
      </c>
      <c r="D895" s="661" t="inlineStr">
        <is>
          <t>DAI NGOC</t>
        </is>
      </c>
      <c r="E895" s="661" t="inlineStr">
        <is>
          <t>RCT</t>
        </is>
      </c>
      <c r="F895" s="661" t="inlineStr">
        <is>
          <t>Tele-Un-35x30x4inch</t>
        </is>
      </c>
      <c r="G895" s="662" t="inlineStr">
        <is>
          <t>D</t>
        </is>
      </c>
      <c r="L895" s="663" t="e">
        <v>#REF!</v>
      </c>
    </row>
    <row r="896">
      <c r="B896" s="659" t="n">
        <v>901654</v>
      </c>
      <c r="C896" s="661" t="inlineStr">
        <is>
          <t>2060A</t>
        </is>
      </c>
      <c r="D896" s="661" t="inlineStr">
        <is>
          <t>DAI NGOC</t>
        </is>
      </c>
      <c r="E896" s="661" t="inlineStr">
        <is>
          <t>RCT</t>
        </is>
      </c>
      <c r="F896" s="661" t="inlineStr">
        <is>
          <t>Tele-UN-35x30x8Inch</t>
        </is>
      </c>
      <c r="G896" s="662" t="inlineStr">
        <is>
          <t>D</t>
        </is>
      </c>
      <c r="L896" s="663" t="e">
        <v>#REF!</v>
      </c>
    </row>
    <row r="897">
      <c r="B897" s="659" t="n">
        <v>901655</v>
      </c>
      <c r="C897" s="661" t="inlineStr">
        <is>
          <t>2060A</t>
        </is>
      </c>
      <c r="D897" s="661" t="inlineStr">
        <is>
          <t>DAI NGOC</t>
        </is>
      </c>
      <c r="E897" s="661" t="inlineStr">
        <is>
          <t>RCT</t>
        </is>
      </c>
      <c r="F897" s="661" t="inlineStr">
        <is>
          <t>TELE-UN-35X30X10INCH</t>
        </is>
      </c>
      <c r="G897" s="662" t="inlineStr">
        <is>
          <t>D</t>
        </is>
      </c>
      <c r="L897" s="663" t="e">
        <v>#REF!</v>
      </c>
    </row>
    <row r="898">
      <c r="B898" s="659" t="n">
        <v>901656</v>
      </c>
      <c r="C898" s="661" t="inlineStr">
        <is>
          <t>2060A</t>
        </is>
      </c>
      <c r="D898" s="661" t="inlineStr">
        <is>
          <t>DAI NGOC</t>
        </is>
      </c>
      <c r="E898" s="661" t="inlineStr">
        <is>
          <t>RCT</t>
        </is>
      </c>
      <c r="F898" s="661" t="inlineStr">
        <is>
          <t>TELE-UN-40X30X8INCH</t>
        </is>
      </c>
      <c r="G898" s="662" t="inlineStr">
        <is>
          <t>D</t>
        </is>
      </c>
      <c r="L898" s="663" t="e">
        <v>#REF!</v>
      </c>
    </row>
    <row r="899">
      <c r="B899" s="659" t="n">
        <v>901657</v>
      </c>
      <c r="C899" s="661" t="inlineStr">
        <is>
          <t>2060A</t>
        </is>
      </c>
      <c r="D899" s="661" t="inlineStr">
        <is>
          <t>DAI NGOC</t>
        </is>
      </c>
      <c r="E899" s="661" t="inlineStr">
        <is>
          <t>RCT</t>
        </is>
      </c>
      <c r="F899" s="661" t="inlineStr">
        <is>
          <t>TELE-UN-40X30X12INCH</t>
        </is>
      </c>
      <c r="G899" s="662" t="inlineStr">
        <is>
          <t>D</t>
        </is>
      </c>
      <c r="L899" s="663" t="e">
        <v>#REF!</v>
      </c>
    </row>
    <row r="900">
      <c r="B900" s="659" t="n">
        <v>901658</v>
      </c>
      <c r="C900" s="661" t="inlineStr">
        <is>
          <t>2060A</t>
        </is>
      </c>
      <c r="D900" s="661" t="inlineStr">
        <is>
          <t>DAI NGOC</t>
        </is>
      </c>
      <c r="E900" s="661" t="inlineStr">
        <is>
          <t>RCT</t>
        </is>
      </c>
      <c r="F900" s="661" t="inlineStr">
        <is>
          <t>TELE-UN-40X30X10INCH</t>
        </is>
      </c>
      <c r="G900" s="662" t="inlineStr">
        <is>
          <t>D</t>
        </is>
      </c>
      <c r="L900" s="663" t="e">
        <v>#REF!</v>
      </c>
    </row>
    <row r="901">
      <c r="B901" s="659" t="n">
        <v>901659</v>
      </c>
      <c r="C901" s="661" t="inlineStr">
        <is>
          <t>2060A</t>
        </is>
      </c>
      <c r="D901" s="661" t="inlineStr">
        <is>
          <t>DAI NGOC</t>
        </is>
      </c>
      <c r="E901" s="661" t="inlineStr">
        <is>
          <t>RCT</t>
        </is>
      </c>
      <c r="F901" s="661" t="inlineStr">
        <is>
          <t>Tele-UN-40x35x8Inch</t>
        </is>
      </c>
      <c r="G901" s="662" t="inlineStr">
        <is>
          <t>D</t>
        </is>
      </c>
      <c r="L901" s="663" t="e">
        <v>#REF!</v>
      </c>
    </row>
    <row r="902">
      <c r="B902" s="659" t="n">
        <v>901662</v>
      </c>
      <c r="C902" s="661" t="inlineStr">
        <is>
          <t>2047A</t>
        </is>
      </c>
      <c r="D902" s="661" t="inlineStr">
        <is>
          <t>NHU QUYNH</t>
        </is>
      </c>
      <c r="E902" s="661" t="inlineStr">
        <is>
          <t>RCT</t>
        </is>
      </c>
      <c r="F902" s="661" t="inlineStr">
        <is>
          <t>Tele-UN-45x30x8Inch</t>
        </is>
      </c>
      <c r="G902" s="662" t="inlineStr">
        <is>
          <t>D</t>
        </is>
      </c>
      <c r="L902" s="663" t="e">
        <v>#REF!</v>
      </c>
    </row>
    <row r="903">
      <c r="B903" s="659" t="inlineStr">
        <is>
          <t>901662H</t>
        </is>
      </c>
      <c r="C903" s="661" t="inlineStr">
        <is>
          <t>2015A</t>
        </is>
      </c>
      <c r="D903" s="661" t="inlineStr">
        <is>
          <t>CHANH NAM</t>
        </is>
      </c>
      <c r="E903" s="661" t="inlineStr">
        <is>
          <t>RCT</t>
        </is>
      </c>
      <c r="F903" s="661" t="inlineStr">
        <is>
          <t>CN-D-UN-45X30X8 INCH</t>
        </is>
      </c>
      <c r="G903" s="662" t="inlineStr">
        <is>
          <t>D</t>
        </is>
      </c>
      <c r="L903" s="663" t="e">
        <v>#REF!</v>
      </c>
    </row>
    <row r="904">
      <c r="B904" s="659" t="n">
        <v>901664</v>
      </c>
      <c r="C904" s="661" t="inlineStr">
        <is>
          <t>2060A</t>
        </is>
      </c>
      <c r="D904" s="661" t="inlineStr">
        <is>
          <t>DAI NGOC</t>
        </is>
      </c>
      <c r="E904" s="661" t="inlineStr">
        <is>
          <t>RCT</t>
        </is>
      </c>
      <c r="F904" s="661" t="inlineStr">
        <is>
          <t>TELE-UN-45X35X8INCH</t>
        </is>
      </c>
      <c r="G904" s="662" t="inlineStr">
        <is>
          <t>D</t>
        </is>
      </c>
      <c r="L904" s="663" t="e">
        <v>#REF!</v>
      </c>
    </row>
    <row r="905">
      <c r="B905" s="659" t="inlineStr">
        <is>
          <t>901664H</t>
        </is>
      </c>
      <c r="C905" s="661" t="inlineStr">
        <is>
          <t>2015A</t>
        </is>
      </c>
      <c r="D905" s="661" t="inlineStr">
        <is>
          <t>CHANH NAM</t>
        </is>
      </c>
      <c r="E905" s="661" t="inlineStr">
        <is>
          <t>RCT</t>
        </is>
      </c>
      <c r="F905" s="661" t="inlineStr">
        <is>
          <t>CN-D-UN-45X35X8 INCH</t>
        </is>
      </c>
      <c r="G905" s="662" t="inlineStr">
        <is>
          <t>D</t>
        </is>
      </c>
      <c r="L905" s="663" t="e">
        <v>#REF!</v>
      </c>
    </row>
    <row r="906">
      <c r="B906" s="659" t="n">
        <v>901668</v>
      </c>
      <c r="C906" s="661" t="inlineStr">
        <is>
          <t>2060A</t>
        </is>
      </c>
      <c r="D906" s="661" t="inlineStr">
        <is>
          <t>DAI NGOC</t>
        </is>
      </c>
      <c r="E906" s="661" t="inlineStr">
        <is>
          <t>RCT</t>
        </is>
      </c>
      <c r="F906" s="661" t="inlineStr">
        <is>
          <t>Tele-UN-45x30x10Inch</t>
        </is>
      </c>
      <c r="G906" s="662" t="inlineStr">
        <is>
          <t>D</t>
        </is>
      </c>
      <c r="L906" s="663" t="e">
        <v>#REF!</v>
      </c>
    </row>
    <row r="907">
      <c r="B907" s="659" t="n">
        <v>901670</v>
      </c>
      <c r="C907" s="661" t="inlineStr">
        <is>
          <t>2063A</t>
        </is>
      </c>
      <c r="D907" s="661" t="inlineStr">
        <is>
          <t>YFY</t>
        </is>
      </c>
      <c r="E907" s="661" t="inlineStr">
        <is>
          <t>PKLN</t>
        </is>
      </c>
      <c r="F907" s="661" t="inlineStr">
        <is>
          <t>U 2 WALL CORRUGT 1994X386MM UN</t>
        </is>
      </c>
      <c r="G907" s="662" t="inlineStr">
        <is>
          <t>D</t>
        </is>
      </c>
      <c r="L907" s="663" t="e">
        <v>#REF!</v>
      </c>
    </row>
    <row r="908">
      <c r="B908" s="659" t="n">
        <v>901674</v>
      </c>
      <c r="C908" s="661" t="inlineStr">
        <is>
          <t>2065A</t>
        </is>
      </c>
      <c r="D908" s="661" t="inlineStr">
        <is>
          <t>HAN QUOC</t>
        </is>
      </c>
      <c r="E908" s="661" t="inlineStr">
        <is>
          <t>BAGE</t>
        </is>
      </c>
      <c r="F908" s="661" t="inlineStr">
        <is>
          <t>BUBBLE BAG 600X200MM</t>
        </is>
      </c>
      <c r="G908" s="662" t="inlineStr">
        <is>
          <t>D</t>
        </is>
      </c>
      <c r="L908" s="663" t="e">
        <v>#REF!</v>
      </c>
    </row>
    <row r="909">
      <c r="B909" s="659" t="n">
        <v>901679</v>
      </c>
      <c r="C909" s="661" t="inlineStr">
        <is>
          <t>2047A</t>
        </is>
      </c>
      <c r="D909" s="661" t="inlineStr">
        <is>
          <t>NHU QUYNH</t>
        </is>
      </c>
      <c r="E909" s="661" t="inlineStr">
        <is>
          <t>RCT</t>
        </is>
      </c>
      <c r="F909" s="661" t="inlineStr">
        <is>
          <t>TELE-UN-50X30X8INCH</t>
        </is>
      </c>
      <c r="G909" s="662" t="inlineStr">
        <is>
          <t>D</t>
        </is>
      </c>
      <c r="L909" s="663" t="e">
        <v>#REF!</v>
      </c>
    </row>
    <row r="910">
      <c r="B910" s="659" t="n">
        <v>901680</v>
      </c>
      <c r="C910" s="661" t="inlineStr">
        <is>
          <t>2060A</t>
        </is>
      </c>
      <c r="D910" s="661" t="inlineStr">
        <is>
          <t>DAI NGOC</t>
        </is>
      </c>
      <c r="E910" s="661" t="inlineStr">
        <is>
          <t>RCT</t>
        </is>
      </c>
      <c r="F910" s="661" t="inlineStr">
        <is>
          <t>TELE-UN-45X30X12INCH</t>
        </is>
      </c>
      <c r="G910" s="662" t="inlineStr">
        <is>
          <t>D</t>
        </is>
      </c>
      <c r="L910" s="663" t="e">
        <v>#REF!</v>
      </c>
    </row>
    <row r="911">
      <c r="B911" s="659" t="n">
        <v>901681</v>
      </c>
      <c r="C911" s="661" t="inlineStr">
        <is>
          <t>2060A</t>
        </is>
      </c>
      <c r="D911" s="661" t="inlineStr">
        <is>
          <t>DAI NGOC</t>
        </is>
      </c>
      <c r="E911" s="661" t="inlineStr">
        <is>
          <t>RCT</t>
        </is>
      </c>
      <c r="F911" s="661" t="inlineStr">
        <is>
          <t>TELE-UN-42X28.5X10INCH</t>
        </is>
      </c>
      <c r="G911" s="662" t="inlineStr">
        <is>
          <t>D</t>
        </is>
      </c>
      <c r="L911" s="663" t="e">
        <v>#REF!</v>
      </c>
    </row>
    <row r="912">
      <c r="B912" s="659" t="n">
        <v>901682</v>
      </c>
      <c r="C912" s="661" t="inlineStr">
        <is>
          <t>2047A</t>
        </is>
      </c>
      <c r="D912" s="661" t="inlineStr">
        <is>
          <t>NHU QUYNH</t>
        </is>
      </c>
      <c r="E912" s="661" t="inlineStr">
        <is>
          <t>RCT</t>
        </is>
      </c>
      <c r="F912" s="661" t="inlineStr">
        <is>
          <t>TELE-UN-40X30X6INCH</t>
        </is>
      </c>
      <c r="G912" s="662" t="inlineStr">
        <is>
          <t>D</t>
        </is>
      </c>
      <c r="L912" s="663" t="e">
        <v>#REF!</v>
      </c>
    </row>
    <row r="913">
      <c r="B913" s="659" t="n">
        <v>901683</v>
      </c>
      <c r="C913" s="661" t="inlineStr">
        <is>
          <t>2060A</t>
        </is>
      </c>
      <c r="D913" s="661" t="inlineStr">
        <is>
          <t>DAI NGOC</t>
        </is>
      </c>
      <c r="E913" s="661" t="inlineStr">
        <is>
          <t>RCT</t>
        </is>
      </c>
      <c r="F913" s="661" t="inlineStr">
        <is>
          <t>Tele-UN-38.75x33.25x8Inch</t>
        </is>
      </c>
      <c r="G913" s="662" t="inlineStr">
        <is>
          <t>D</t>
        </is>
      </c>
      <c r="L913" s="663" t="e">
        <v>#REF!</v>
      </c>
    </row>
    <row r="914">
      <c r="B914" s="659" t="n">
        <v>901684</v>
      </c>
      <c r="C914" s="661" t="inlineStr">
        <is>
          <t>2047A</t>
        </is>
      </c>
      <c r="D914" s="661" t="inlineStr">
        <is>
          <t>NHU QUYNH</t>
        </is>
      </c>
      <c r="E914" s="661" t="inlineStr">
        <is>
          <t>RCT</t>
        </is>
      </c>
      <c r="F914" s="661" t="inlineStr">
        <is>
          <t>RSC-PN-880X435X250MM</t>
        </is>
      </c>
      <c r="G914" s="662" t="inlineStr">
        <is>
          <t>D</t>
        </is>
      </c>
      <c r="L914" s="663" t="e">
        <v>#REF!</v>
      </c>
    </row>
    <row r="915">
      <c r="B915" s="659" t="n">
        <v>901685</v>
      </c>
      <c r="C915" s="661" t="inlineStr">
        <is>
          <t>2047A</t>
        </is>
      </c>
      <c r="D915" s="661" t="inlineStr">
        <is>
          <t>NHU QUYNH</t>
        </is>
      </c>
      <c r="E915" s="661" t="inlineStr">
        <is>
          <t>RCT</t>
        </is>
      </c>
      <c r="F915" s="661" t="inlineStr">
        <is>
          <t>RSC-PN-645X365X250MM</t>
        </is>
      </c>
      <c r="G915" s="662" t="inlineStr">
        <is>
          <t>D</t>
        </is>
      </c>
      <c r="L915" s="663" t="e">
        <v>#REF!</v>
      </c>
    </row>
    <row r="916">
      <c r="B916" s="659" t="n">
        <v>901686</v>
      </c>
      <c r="C916" s="661" t="inlineStr">
        <is>
          <t>2047A</t>
        </is>
      </c>
      <c r="D916" s="661" t="inlineStr">
        <is>
          <t>NHU QUYNH</t>
        </is>
      </c>
      <c r="E916" s="661" t="inlineStr">
        <is>
          <t>RCT</t>
        </is>
      </c>
      <c r="F916" s="661" t="inlineStr">
        <is>
          <t>TELE-PN-1635X375X140MM</t>
        </is>
      </c>
      <c r="G916" s="662" t="inlineStr">
        <is>
          <t>D</t>
        </is>
      </c>
      <c r="L916" s="663" t="e">
        <v>#REF!</v>
      </c>
    </row>
    <row r="917">
      <c r="B917" s="659" t="n">
        <v>901689</v>
      </c>
      <c r="C917" s="661" t="inlineStr">
        <is>
          <t>2047A</t>
        </is>
      </c>
      <c r="D917" s="661" t="inlineStr">
        <is>
          <t>NHU QUYNH</t>
        </is>
      </c>
      <c r="E917" s="661" t="inlineStr">
        <is>
          <t>RCT</t>
        </is>
      </c>
      <c r="F917" s="661" t="inlineStr">
        <is>
          <t>RSC-PN-820X365X260MM</t>
        </is>
      </c>
      <c r="G917" s="662" t="inlineStr">
        <is>
          <t>D</t>
        </is>
      </c>
      <c r="L917" s="663" t="e">
        <v>#REF!</v>
      </c>
    </row>
    <row r="918">
      <c r="B918" s="659" t="n">
        <v>901690</v>
      </c>
      <c r="C918" s="661" t="inlineStr">
        <is>
          <t>2047A</t>
        </is>
      </c>
      <c r="D918" s="661" t="inlineStr">
        <is>
          <t>NHU QUYNH</t>
        </is>
      </c>
      <c r="E918" s="661" t="inlineStr">
        <is>
          <t>RCT</t>
        </is>
      </c>
      <c r="F918" s="661" t="inlineStr">
        <is>
          <t>TELE-UN-42X28.5X8INCH</t>
        </is>
      </c>
      <c r="G918" s="662" t="inlineStr">
        <is>
          <t>D</t>
        </is>
      </c>
      <c r="L918" s="663" t="e">
        <v>#REF!</v>
      </c>
    </row>
    <row r="919">
      <c r="B919" s="659" t="n">
        <v>901692</v>
      </c>
      <c r="C919" s="661" t="inlineStr">
        <is>
          <t>2060A</t>
        </is>
      </c>
      <c r="D919" s="661" t="inlineStr">
        <is>
          <t>DAI NGOC</t>
        </is>
      </c>
      <c r="E919" s="661" t="inlineStr">
        <is>
          <t>RCT</t>
        </is>
      </c>
      <c r="F919" s="661" t="inlineStr">
        <is>
          <t>TELE-UN-37X28.5X7INCH</t>
        </is>
      </c>
      <c r="G919" s="662" t="inlineStr">
        <is>
          <t>D</t>
        </is>
      </c>
      <c r="L919" s="663" t="e">
        <v>#REF!</v>
      </c>
    </row>
    <row r="920">
      <c r="B920" s="659" t="n">
        <v>901694</v>
      </c>
      <c r="C920" s="661" t="inlineStr">
        <is>
          <t>2047A</t>
        </is>
      </c>
      <c r="D920" s="661" t="inlineStr">
        <is>
          <t>NHU QUYNH</t>
        </is>
      </c>
      <c r="E920" s="661" t="inlineStr">
        <is>
          <t>RCT</t>
        </is>
      </c>
      <c r="F920" s="661" t="inlineStr">
        <is>
          <t>TELE-UN-40X30X7INCH</t>
        </is>
      </c>
      <c r="G920" s="662" t="inlineStr">
        <is>
          <t>D</t>
        </is>
      </c>
      <c r="L920" s="663" t="e">
        <v>#REF!</v>
      </c>
    </row>
    <row r="921">
      <c r="B921" s="659" t="n">
        <v>901695</v>
      </c>
      <c r="C921" s="661" t="inlineStr">
        <is>
          <t>2047A</t>
        </is>
      </c>
      <c r="D921" s="661" t="inlineStr">
        <is>
          <t>NHU QUYNH</t>
        </is>
      </c>
      <c r="E921" s="661" t="inlineStr">
        <is>
          <t>RCT</t>
        </is>
      </c>
      <c r="F921" s="661" t="inlineStr">
        <is>
          <t>TELE-UN-40X30X9INCH</t>
        </is>
      </c>
      <c r="G921" s="662" t="inlineStr">
        <is>
          <t>D</t>
        </is>
      </c>
      <c r="L921" s="663" t="e">
        <v>#REF!</v>
      </c>
    </row>
    <row r="922">
      <c r="B922" s="659" t="n">
        <v>901697</v>
      </c>
      <c r="C922" s="661" t="inlineStr">
        <is>
          <t>2047A</t>
        </is>
      </c>
      <c r="D922" s="661" t="inlineStr">
        <is>
          <t>NHU QUYNH</t>
        </is>
      </c>
      <c r="E922" s="661" t="inlineStr">
        <is>
          <t>RCT</t>
        </is>
      </c>
      <c r="F922" s="661" t="inlineStr">
        <is>
          <t>TELE-UN-50X30X10INCH</t>
        </is>
      </c>
      <c r="G922" s="662" t="inlineStr">
        <is>
          <t>D</t>
        </is>
      </c>
      <c r="L922" s="663" t="e">
        <v>#REF!</v>
      </c>
    </row>
    <row r="923">
      <c r="B923" s="659" t="n">
        <v>901701</v>
      </c>
      <c r="C923" s="661" t="inlineStr">
        <is>
          <t>2065A</t>
        </is>
      </c>
      <c r="D923" s="661" t="inlineStr">
        <is>
          <t>HAN QUOC</t>
        </is>
      </c>
      <c r="E923" s="661" t="inlineStr">
        <is>
          <t>BAGE</t>
        </is>
      </c>
      <c r="F923" s="661" t="inlineStr">
        <is>
          <t>BUBBLE BAG 950X180MM</t>
        </is>
      </c>
      <c r="G923" s="662" t="inlineStr">
        <is>
          <t>D</t>
        </is>
      </c>
      <c r="L923" s="663" t="e">
        <v>#REF!</v>
      </c>
    </row>
    <row r="924">
      <c r="B924" s="659" t="n">
        <v>901702</v>
      </c>
      <c r="C924" s="661" t="inlineStr">
        <is>
          <t>2065A</t>
        </is>
      </c>
      <c r="D924" s="661" t="inlineStr">
        <is>
          <t>HAN QUOC</t>
        </is>
      </c>
      <c r="E924" s="661" t="inlineStr">
        <is>
          <t>BAGE</t>
        </is>
      </c>
      <c r="F924" s="661" t="inlineStr">
        <is>
          <t>BUBBLE BAG 1650X200MM</t>
        </is>
      </c>
      <c r="G924" s="662" t="inlineStr">
        <is>
          <t>D</t>
        </is>
      </c>
      <c r="L924" s="663" t="e">
        <v>#REF!</v>
      </c>
    </row>
    <row r="925">
      <c r="B925" s="659" t="n">
        <v>901705</v>
      </c>
      <c r="C925" s="661" t="inlineStr">
        <is>
          <t>2060A</t>
        </is>
      </c>
      <c r="D925" s="661" t="inlineStr">
        <is>
          <t>DAI NGOC</t>
        </is>
      </c>
      <c r="E925" s="661" t="inlineStr">
        <is>
          <t>RCT</t>
        </is>
      </c>
      <c r="F925" s="661" t="inlineStr">
        <is>
          <t>TELE-UN-42X28.5X6INCH</t>
        </is>
      </c>
      <c r="G925" s="662" t="inlineStr">
        <is>
          <t>D</t>
        </is>
      </c>
      <c r="L925" s="663" t="e">
        <v>#REF!</v>
      </c>
    </row>
    <row r="926">
      <c r="B926" s="659" t="n">
        <v>901709</v>
      </c>
      <c r="C926" s="661" t="inlineStr">
        <is>
          <t>2036A</t>
        </is>
      </c>
      <c r="D926" s="661" t="inlineStr">
        <is>
          <t>TIEN THANH</t>
        </is>
      </c>
      <c r="E926" s="661" t="inlineStr">
        <is>
          <t>BAGE</t>
        </is>
      </c>
      <c r="F926" s="661" t="inlineStr">
        <is>
          <t>PLASTIC BAG 40*60 INCH</t>
        </is>
      </c>
      <c r="G926" s="662" t="inlineStr">
        <is>
          <t>D</t>
        </is>
      </c>
      <c r="L926" s="663" t="e">
        <v>#REF!</v>
      </c>
    </row>
    <row r="927">
      <c r="B927" s="659" t="n">
        <v>901710</v>
      </c>
      <c r="C927" s="661" t="inlineStr">
        <is>
          <t>2060A</t>
        </is>
      </c>
      <c r="D927" s="661" t="inlineStr">
        <is>
          <t>DAI NGOC</t>
        </is>
      </c>
      <c r="E927" s="661" t="inlineStr">
        <is>
          <t>RCT</t>
        </is>
      </c>
      <c r="F927" s="661" t="inlineStr">
        <is>
          <t>TELE-UN-40X20X4INCH</t>
        </is>
      </c>
      <c r="G927" s="662" t="inlineStr">
        <is>
          <t>D</t>
        </is>
      </c>
      <c r="L927" s="663" t="e">
        <v>#REF!</v>
      </c>
    </row>
    <row r="928">
      <c r="B928" s="659" t="n">
        <v>901712</v>
      </c>
      <c r="C928" s="661" t="inlineStr">
        <is>
          <t>2047A</t>
        </is>
      </c>
      <c r="D928" s="661" t="inlineStr">
        <is>
          <t>NHU QUYNH</t>
        </is>
      </c>
      <c r="E928" s="661" t="inlineStr">
        <is>
          <t>RCT</t>
        </is>
      </c>
      <c r="F928" s="661" t="inlineStr">
        <is>
          <t>TELE-UN-35X30X14INCH</t>
        </is>
      </c>
      <c r="G928" s="662" t="inlineStr">
        <is>
          <t>D</t>
        </is>
      </c>
      <c r="L928" s="663" t="e">
        <v>#REF!</v>
      </c>
    </row>
    <row r="929">
      <c r="B929" s="659" t="n">
        <v>901713</v>
      </c>
      <c r="C929" s="661" t="inlineStr">
        <is>
          <t>2060A</t>
        </is>
      </c>
      <c r="D929" s="661" t="inlineStr">
        <is>
          <t>DAI NGOC</t>
        </is>
      </c>
      <c r="E929" s="661" t="inlineStr">
        <is>
          <t>RCT</t>
        </is>
      </c>
      <c r="F929" s="661" t="inlineStr">
        <is>
          <t>TELE-UN-35X30X12 INCH</t>
        </is>
      </c>
      <c r="G929" s="662" t="inlineStr">
        <is>
          <t>D</t>
        </is>
      </c>
      <c r="L929" s="663" t="e">
        <v>#REF!</v>
      </c>
    </row>
    <row r="930">
      <c r="B930" s="659" t="n">
        <v>901714</v>
      </c>
      <c r="C930" s="661" t="inlineStr">
        <is>
          <t>2047A</t>
        </is>
      </c>
      <c r="D930" s="661" t="inlineStr">
        <is>
          <t>NHU QUYNH</t>
        </is>
      </c>
      <c r="E930" s="661" t="inlineStr">
        <is>
          <t>RCT</t>
        </is>
      </c>
      <c r="F930" s="661" t="inlineStr">
        <is>
          <t>Tele-UN-50x30x13.5Inch</t>
        </is>
      </c>
      <c r="G930" s="662" t="inlineStr">
        <is>
          <t>D</t>
        </is>
      </c>
      <c r="L930" s="663" t="e">
        <v>#REF!</v>
      </c>
    </row>
    <row r="931">
      <c r="B931" s="659" t="n">
        <v>901715</v>
      </c>
      <c r="C931" s="661" t="inlineStr">
        <is>
          <t>2047A</t>
        </is>
      </c>
      <c r="D931" s="661" t="inlineStr">
        <is>
          <t>NHU QUYNH</t>
        </is>
      </c>
      <c r="E931" s="661" t="inlineStr">
        <is>
          <t>RCT</t>
        </is>
      </c>
      <c r="F931" s="661" t="inlineStr">
        <is>
          <t>RSC-UN-37x28.5x22Inch</t>
        </is>
      </c>
      <c r="G931" s="662" t="inlineStr">
        <is>
          <t>D</t>
        </is>
      </c>
      <c r="L931" s="663" t="e">
        <v>#REF!</v>
      </c>
    </row>
    <row r="932">
      <c r="B932" s="659" t="n">
        <v>901716</v>
      </c>
      <c r="C932" s="661" t="inlineStr">
        <is>
          <t>2063A</t>
        </is>
      </c>
      <c r="D932" s="661" t="inlineStr">
        <is>
          <t>YFY</t>
        </is>
      </c>
      <c r="E932" s="661" t="inlineStr">
        <is>
          <t>PKLN</t>
        </is>
      </c>
      <c r="F932" s="661" t="inlineStr">
        <is>
          <t>U 2 WALL CORRUGATE 1626X538 UN</t>
        </is>
      </c>
      <c r="G932" s="662" t="inlineStr">
        <is>
          <t>D</t>
        </is>
      </c>
      <c r="L932" s="663" t="e">
        <v>#REF!</v>
      </c>
    </row>
    <row r="933">
      <c r="B933" s="659" t="n">
        <v>901717</v>
      </c>
      <c r="C933" s="661" t="inlineStr">
        <is>
          <t>2060A</t>
        </is>
      </c>
      <c r="D933" s="661" t="inlineStr">
        <is>
          <t>DAI NGOC</t>
        </is>
      </c>
      <c r="E933" s="661" t="inlineStr">
        <is>
          <t>RCT</t>
        </is>
      </c>
      <c r="F933" s="661" t="inlineStr">
        <is>
          <t>TELE-UN-42X28.5X9INCH</t>
        </is>
      </c>
      <c r="G933" s="662" t="inlineStr">
        <is>
          <t>D</t>
        </is>
      </c>
      <c r="L933" s="663" t="e">
        <v>#REF!</v>
      </c>
    </row>
    <row r="934">
      <c r="B934" s="659" t="n">
        <v>901719</v>
      </c>
      <c r="C934" s="661" t="inlineStr">
        <is>
          <t>2047A</t>
        </is>
      </c>
      <c r="D934" s="661" t="inlineStr">
        <is>
          <t>NHU QUYNH</t>
        </is>
      </c>
      <c r="E934" s="661" t="inlineStr">
        <is>
          <t>RCT</t>
        </is>
      </c>
      <c r="F934" s="661" t="inlineStr">
        <is>
          <t>TELE-C-UN-37X37X14 INCH</t>
        </is>
      </c>
      <c r="G934" s="662" t="inlineStr">
        <is>
          <t>D</t>
        </is>
      </c>
      <c r="L934" s="663" t="e">
        <v>#REF!</v>
      </c>
    </row>
    <row r="935">
      <c r="B935" s="659" t="n">
        <v>901725</v>
      </c>
      <c r="C935" s="661" t="inlineStr">
        <is>
          <t>2063A</t>
        </is>
      </c>
      <c r="D935" s="661" t="inlineStr">
        <is>
          <t>YFY</t>
        </is>
      </c>
      <c r="E935" s="661" t="inlineStr">
        <is>
          <t>PKLN</t>
        </is>
      </c>
      <c r="F935" s="661" t="inlineStr">
        <is>
          <t>S FACE CORRU CB 1250X600MM</t>
        </is>
      </c>
      <c r="G935" s="662" t="inlineStr">
        <is>
          <t>D</t>
        </is>
      </c>
      <c r="L935" s="663" t="e">
        <v>#REF!</v>
      </c>
    </row>
    <row r="936">
      <c r="B936" s="659" t="n">
        <v>901762</v>
      </c>
      <c r="C936" s="661" t="inlineStr">
        <is>
          <t>2047A</t>
        </is>
      </c>
      <c r="D936" s="661" t="inlineStr">
        <is>
          <t>NHU QUYNH</t>
        </is>
      </c>
      <c r="E936" s="661" t="inlineStr">
        <is>
          <t>RCT</t>
        </is>
      </c>
      <c r="F936" s="661" t="inlineStr">
        <is>
          <t>RSC-UN-35X30X16INCH</t>
        </is>
      </c>
      <c r="G936" s="662" t="inlineStr">
        <is>
          <t>D</t>
        </is>
      </c>
      <c r="L936" s="663" t="e">
        <v>#REF!</v>
      </c>
    </row>
    <row r="937">
      <c r="B937" s="659" t="n">
        <v>901763</v>
      </c>
      <c r="C937" s="661" t="inlineStr">
        <is>
          <t>2063A</t>
        </is>
      </c>
      <c r="D937" s="661" t="inlineStr">
        <is>
          <t>YFY</t>
        </is>
      </c>
      <c r="E937" s="661" t="inlineStr">
        <is>
          <t>PKLN</t>
        </is>
      </c>
      <c r="F937" s="661" t="inlineStr">
        <is>
          <t>U 2 WALL CURROGATE 1613X386 UN</t>
        </is>
      </c>
      <c r="G937" s="662" t="inlineStr">
        <is>
          <t>D</t>
        </is>
      </c>
      <c r="L937" s="663" t="e">
        <v>#REF!</v>
      </c>
    </row>
    <row r="938">
      <c r="B938" s="659" t="n">
        <v>901769</v>
      </c>
      <c r="C938" s="661" t="inlineStr">
        <is>
          <t>2063A</t>
        </is>
      </c>
      <c r="D938" s="661" t="inlineStr">
        <is>
          <t>YFY</t>
        </is>
      </c>
      <c r="E938" s="661" t="inlineStr">
        <is>
          <t>PKLN</t>
        </is>
      </c>
      <c r="F938" s="661" t="inlineStr">
        <is>
          <t>S FACE CORRU CB 1880X440MM</t>
        </is>
      </c>
      <c r="G938" s="662" t="inlineStr">
        <is>
          <t>D</t>
        </is>
      </c>
      <c r="L938" s="663" t="e">
        <v>#REF!</v>
      </c>
    </row>
    <row r="939">
      <c r="B939" s="659" t="n">
        <v>901793</v>
      </c>
      <c r="C939" s="661" t="inlineStr">
        <is>
          <t>2047A</t>
        </is>
      </c>
      <c r="D939" s="661" t="inlineStr">
        <is>
          <t>NHU QUYNH</t>
        </is>
      </c>
      <c r="E939" s="661" t="inlineStr">
        <is>
          <t>RCT</t>
        </is>
      </c>
      <c r="F939" s="661" t="inlineStr">
        <is>
          <t>RSC-UN-40X30X16INCH</t>
        </is>
      </c>
      <c r="G939" s="662" t="inlineStr">
        <is>
          <t>D</t>
        </is>
      </c>
      <c r="L939" s="663" t="e">
        <v>#REF!</v>
      </c>
    </row>
    <row r="940">
      <c r="B940" s="659" t="n">
        <v>901794</v>
      </c>
      <c r="C940" s="661" t="inlineStr">
        <is>
          <t>2063A</t>
        </is>
      </c>
      <c r="D940" s="661" t="inlineStr">
        <is>
          <t>YFY</t>
        </is>
      </c>
      <c r="E940" s="661" t="inlineStr">
        <is>
          <t>PKLN</t>
        </is>
      </c>
      <c r="F940" s="661" t="inlineStr">
        <is>
          <t>U 2 WALL CURROGATE 1740X386 UN</t>
        </is>
      </c>
      <c r="G940" s="662" t="inlineStr">
        <is>
          <t>D</t>
        </is>
      </c>
      <c r="L940" s="663" t="e">
        <v>#REF!</v>
      </c>
    </row>
    <row r="941">
      <c r="B941" s="659" t="n">
        <v>901795</v>
      </c>
      <c r="C941" s="661" t="inlineStr">
        <is>
          <t>2047A</t>
        </is>
      </c>
      <c r="D941" s="661" t="inlineStr">
        <is>
          <t>NHU QUYNH</t>
        </is>
      </c>
      <c r="E941" s="661" t="inlineStr">
        <is>
          <t>RCT</t>
        </is>
      </c>
      <c r="F941" s="661" t="inlineStr">
        <is>
          <t>TELE-UN-40X30X14INCH</t>
        </is>
      </c>
      <c r="G941" s="662" t="inlineStr">
        <is>
          <t>D</t>
        </is>
      </c>
      <c r="L941" s="663" t="e">
        <v>#REF!</v>
      </c>
    </row>
    <row r="942">
      <c r="B942" s="659" t="n">
        <v>901796</v>
      </c>
      <c r="C942" s="661" t="inlineStr">
        <is>
          <t>2047A</t>
        </is>
      </c>
      <c r="D942" s="661" t="inlineStr">
        <is>
          <t>NHU QUYNH</t>
        </is>
      </c>
      <c r="E942" s="661" t="inlineStr">
        <is>
          <t>RCT</t>
        </is>
      </c>
      <c r="F942" s="661" t="inlineStr">
        <is>
          <t>TELE-UN-35X30X6 INCH</t>
        </is>
      </c>
      <c r="G942" s="662" t="inlineStr">
        <is>
          <t>D</t>
        </is>
      </c>
      <c r="L942" s="663" t="e">
        <v>#REF!</v>
      </c>
    </row>
    <row r="943">
      <c r="B943" s="659" t="n">
        <v>901805</v>
      </c>
      <c r="C943" s="661" t="inlineStr">
        <is>
          <t>2047A</t>
        </is>
      </c>
      <c r="D943" s="661" t="inlineStr">
        <is>
          <t>NHU QUYNH</t>
        </is>
      </c>
      <c r="E943" s="661" t="inlineStr">
        <is>
          <t>RCT</t>
        </is>
      </c>
      <c r="F943" s="661" t="inlineStr">
        <is>
          <t>Tele-UN-43.75x33.25x10Inch</t>
        </is>
      </c>
      <c r="G943" s="662" t="inlineStr">
        <is>
          <t>D</t>
        </is>
      </c>
      <c r="L943" s="663" t="e">
        <v>#REF!</v>
      </c>
    </row>
    <row r="944">
      <c r="B944" s="659" t="n">
        <v>901806</v>
      </c>
      <c r="C944" s="661" t="inlineStr">
        <is>
          <t>2047A</t>
        </is>
      </c>
      <c r="D944" s="661" t="inlineStr">
        <is>
          <t>NHU QUYNH</t>
        </is>
      </c>
      <c r="E944" s="661" t="inlineStr">
        <is>
          <t>RCT</t>
        </is>
      </c>
      <c r="F944" s="661" t="inlineStr">
        <is>
          <t>TELE-UN-28.5X37X5 INCH</t>
        </is>
      </c>
      <c r="G944" s="662" t="inlineStr">
        <is>
          <t>D</t>
        </is>
      </c>
      <c r="L944" s="663" t="e">
        <v>#REF!</v>
      </c>
    </row>
    <row r="945">
      <c r="B945" s="659" t="n">
        <v>901807</v>
      </c>
      <c r="C945" s="661" t="inlineStr">
        <is>
          <t>2047A</t>
        </is>
      </c>
      <c r="D945" s="661" t="inlineStr">
        <is>
          <t>NHU QUYNH</t>
        </is>
      </c>
      <c r="E945" s="661" t="inlineStr">
        <is>
          <t>RCT</t>
        </is>
      </c>
      <c r="F945" s="661" t="inlineStr">
        <is>
          <t>TELE-UN-38.75X33.25X10INCH</t>
        </is>
      </c>
      <c r="G945" s="662" t="inlineStr">
        <is>
          <t>D</t>
        </is>
      </c>
      <c r="L945" s="663" t="e">
        <v>#REF!</v>
      </c>
    </row>
    <row r="946">
      <c r="B946" s="659" t="n">
        <v>901808</v>
      </c>
      <c r="C946" s="661" t="inlineStr">
        <is>
          <t>2047A</t>
        </is>
      </c>
      <c r="D946" s="661" t="inlineStr">
        <is>
          <t>NHU QUYNH</t>
        </is>
      </c>
      <c r="E946" s="661" t="inlineStr">
        <is>
          <t>RCT</t>
        </is>
      </c>
      <c r="F946" s="661" t="inlineStr">
        <is>
          <t>RSC-UN-42X28.5X16INCH</t>
        </is>
      </c>
      <c r="G946" s="662" t="inlineStr">
        <is>
          <t>D</t>
        </is>
      </c>
      <c r="L946" s="663" t="e">
        <v>#REF!</v>
      </c>
    </row>
    <row r="947">
      <c r="B947" s="659" t="n">
        <v>901809</v>
      </c>
      <c r="C947" s="661" t="inlineStr">
        <is>
          <t>2063A</t>
        </is>
      </c>
      <c r="D947" s="661" t="inlineStr">
        <is>
          <t>YFY</t>
        </is>
      </c>
      <c r="E947" s="661" t="inlineStr">
        <is>
          <t>PKLN</t>
        </is>
      </c>
      <c r="F947" s="661" t="inlineStr">
        <is>
          <t>U 2 WALL CURROGATE 1753X386 UN</t>
        </is>
      </c>
      <c r="G947" s="662" t="inlineStr">
        <is>
          <t>D</t>
        </is>
      </c>
      <c r="L947" s="663" t="e">
        <v>#REF!</v>
      </c>
    </row>
    <row r="948">
      <c r="B948" s="659" t="n">
        <v>901818</v>
      </c>
      <c r="C948" s="661" t="inlineStr">
        <is>
          <t>2060A</t>
        </is>
      </c>
      <c r="D948" s="661" t="inlineStr">
        <is>
          <t>DAI NGOC</t>
        </is>
      </c>
      <c r="E948" s="661" t="inlineStr">
        <is>
          <t>RCT</t>
        </is>
      </c>
      <c r="F948" s="661" t="inlineStr">
        <is>
          <t>TELE-UN-38.75*33.25*4.25</t>
        </is>
      </c>
      <c r="G948" s="662" t="inlineStr">
        <is>
          <t>D</t>
        </is>
      </c>
      <c r="L948" s="663" t="e">
        <v>#REF!</v>
      </c>
    </row>
    <row r="949">
      <c r="B949" s="659" t="n">
        <v>901829</v>
      </c>
      <c r="C949" s="661" t="inlineStr">
        <is>
          <t>2047A</t>
        </is>
      </c>
      <c r="D949" s="661" t="inlineStr">
        <is>
          <t>NHU QUYNH</t>
        </is>
      </c>
      <c r="E949" s="661" t="inlineStr">
        <is>
          <t>RCT</t>
        </is>
      </c>
      <c r="F949" s="661" t="inlineStr">
        <is>
          <t>Tele-UN-43x30x7Inch</t>
        </is>
      </c>
      <c r="G949" s="662" t="inlineStr">
        <is>
          <t>D</t>
        </is>
      </c>
      <c r="L949" s="663" t="e">
        <v>#REF!</v>
      </c>
    </row>
    <row r="950">
      <c r="B950" s="659" t="n">
        <v>901830</v>
      </c>
      <c r="C950" s="661" t="inlineStr">
        <is>
          <t>2047A</t>
        </is>
      </c>
      <c r="D950" s="661" t="inlineStr">
        <is>
          <t>NHU QUYNH</t>
        </is>
      </c>
      <c r="E950" s="661" t="inlineStr">
        <is>
          <t>RCT</t>
        </is>
      </c>
      <c r="F950" s="661" t="inlineStr">
        <is>
          <t>Tele-UN-43x30x8Inch</t>
        </is>
      </c>
      <c r="G950" s="662" t="inlineStr">
        <is>
          <t>D</t>
        </is>
      </c>
      <c r="L950" s="663" t="e">
        <v>#REF!</v>
      </c>
    </row>
    <row r="951">
      <c r="B951" s="659" t="n">
        <v>901831</v>
      </c>
      <c r="C951" s="661" t="inlineStr">
        <is>
          <t>2060A</t>
        </is>
      </c>
      <c r="D951" s="661" t="inlineStr">
        <is>
          <t>DAI NGOC</t>
        </is>
      </c>
      <c r="E951" s="661" t="inlineStr">
        <is>
          <t>RCT</t>
        </is>
      </c>
      <c r="F951" s="661" t="inlineStr">
        <is>
          <t>TELE-UN-35X30X13INCH</t>
        </is>
      </c>
      <c r="G951" s="662" t="inlineStr">
        <is>
          <t>D</t>
        </is>
      </c>
      <c r="L951" s="663" t="e">
        <v>#REF!</v>
      </c>
    </row>
    <row r="952">
      <c r="B952" s="659" t="n">
        <v>901893</v>
      </c>
      <c r="C952" s="661" t="inlineStr">
        <is>
          <t>2047A</t>
        </is>
      </c>
      <c r="D952" s="661" t="inlineStr">
        <is>
          <t>NHU QUYNH</t>
        </is>
      </c>
      <c r="E952" s="661" t="inlineStr">
        <is>
          <t>RCT</t>
        </is>
      </c>
      <c r="F952" s="661" t="inlineStr">
        <is>
          <t>TELE-UN-30X23.5X8.5INCH</t>
        </is>
      </c>
      <c r="G952" s="662" t="inlineStr">
        <is>
          <t>D</t>
        </is>
      </c>
      <c r="L952" s="663" t="e">
        <v>#REF!</v>
      </c>
    </row>
    <row r="953">
      <c r="B953" s="659" t="n">
        <v>901894</v>
      </c>
      <c r="C953" s="661" t="inlineStr">
        <is>
          <t>2047A</t>
        </is>
      </c>
      <c r="D953" s="661" t="inlineStr">
        <is>
          <t>NHU QUYNH</t>
        </is>
      </c>
      <c r="E953" s="661" t="inlineStr">
        <is>
          <t>RCT</t>
        </is>
      </c>
      <c r="F953" s="661" t="inlineStr">
        <is>
          <t>planebox-UN-38.58x11.82x2.17In</t>
        </is>
      </c>
      <c r="G953" s="662" t="inlineStr">
        <is>
          <t>D</t>
        </is>
      </c>
      <c r="L953" s="663" t="e">
        <v>#REF!</v>
      </c>
    </row>
    <row r="954">
      <c r="B954" s="659" t="n">
        <v>901902</v>
      </c>
      <c r="C954" s="661" t="inlineStr">
        <is>
          <t>2047A</t>
        </is>
      </c>
      <c r="D954" s="661" t="inlineStr">
        <is>
          <t>NHU QUYNH</t>
        </is>
      </c>
      <c r="E954" s="661" t="inlineStr">
        <is>
          <t>RCT</t>
        </is>
      </c>
      <c r="F954" s="661" t="inlineStr">
        <is>
          <t>RSC-PN-1615X240X180MM</t>
        </is>
      </c>
      <c r="G954" s="662" t="inlineStr">
        <is>
          <t>D</t>
        </is>
      </c>
      <c r="L954" s="663" t="e">
        <v>#REF!</v>
      </c>
    </row>
    <row r="955">
      <c r="B955" s="659" t="n">
        <v>901903</v>
      </c>
      <c r="C955" s="661" t="inlineStr">
        <is>
          <t>2065A</t>
        </is>
      </c>
      <c r="D955" s="661" t="inlineStr">
        <is>
          <t>HAN QUOC</t>
        </is>
      </c>
      <c r="E955" s="661" t="inlineStr">
        <is>
          <t>BAGE</t>
        </is>
      </c>
      <c r="F955" s="661" t="inlineStr">
        <is>
          <t>BUBBLE BAG 1700X200MM</t>
        </is>
      </c>
      <c r="G955" s="662" t="inlineStr">
        <is>
          <t>D</t>
        </is>
      </c>
      <c r="L955" s="663" t="e">
        <v>#REF!</v>
      </c>
    </row>
    <row r="956">
      <c r="B956" s="659" t="n">
        <v>901904</v>
      </c>
      <c r="C956" s="661" t="inlineStr">
        <is>
          <t>2063A</t>
        </is>
      </c>
      <c r="D956" s="661" t="inlineStr">
        <is>
          <t>YFY</t>
        </is>
      </c>
      <c r="E956" s="661" t="inlineStr">
        <is>
          <t>PKLN</t>
        </is>
      </c>
      <c r="F956" s="661" t="inlineStr">
        <is>
          <t>1 WALL CORRUGATE CB 1600X230MM</t>
        </is>
      </c>
      <c r="G956" s="662" t="inlineStr">
        <is>
          <t>D</t>
        </is>
      </c>
      <c r="L956" s="663" t="e">
        <v>#REF!</v>
      </c>
    </row>
    <row r="957">
      <c r="B957" s="659" t="n">
        <v>901905</v>
      </c>
      <c r="C957" s="661" t="inlineStr">
        <is>
          <t>2063A</t>
        </is>
      </c>
      <c r="D957" s="661" t="inlineStr">
        <is>
          <t>YFY</t>
        </is>
      </c>
      <c r="E957" s="661" t="inlineStr">
        <is>
          <t>PKLN</t>
        </is>
      </c>
      <c r="F957" s="661" t="inlineStr">
        <is>
          <t>U 1 WALL CORRUGA CB 1820X150MM</t>
        </is>
      </c>
      <c r="G957" s="662" t="inlineStr">
        <is>
          <t>D</t>
        </is>
      </c>
      <c r="L957" s="663" t="e">
        <v>#REF!</v>
      </c>
    </row>
    <row r="958">
      <c r="B958" s="659" t="n">
        <v>901906</v>
      </c>
      <c r="C958" s="661" t="inlineStr">
        <is>
          <t>2047A</t>
        </is>
      </c>
      <c r="D958" s="661" t="inlineStr">
        <is>
          <t>NHU QUYNH</t>
        </is>
      </c>
      <c r="E958" s="661" t="inlineStr">
        <is>
          <t>RCT</t>
        </is>
      </c>
      <c r="F958" s="661" t="inlineStr">
        <is>
          <t>RSC-PN-2015X530X390MM</t>
        </is>
      </c>
      <c r="G958" s="662" t="inlineStr">
        <is>
          <t>D</t>
        </is>
      </c>
      <c r="L958" s="663" t="e">
        <v>#REF!</v>
      </c>
    </row>
    <row r="959">
      <c r="B959" s="659" t="n">
        <v>901907</v>
      </c>
      <c r="C959" s="661" t="inlineStr">
        <is>
          <t>2063A</t>
        </is>
      </c>
      <c r="D959" s="661" t="inlineStr">
        <is>
          <t>YFY</t>
        </is>
      </c>
      <c r="E959" s="661" t="inlineStr">
        <is>
          <t>PKLN</t>
        </is>
      </c>
      <c r="F959" s="661" t="inlineStr">
        <is>
          <t>1 WALL CORRUGATE CB 2000X520MM</t>
        </is>
      </c>
      <c r="G959" s="662" t="inlineStr">
        <is>
          <t>D</t>
        </is>
      </c>
      <c r="L959" s="663" t="e">
        <v>#REF!</v>
      </c>
    </row>
    <row r="960">
      <c r="B960" s="659" t="n">
        <v>901908</v>
      </c>
      <c r="C960" s="661" t="inlineStr">
        <is>
          <t>2063A</t>
        </is>
      </c>
      <c r="D960" s="661" t="inlineStr">
        <is>
          <t>YFY</t>
        </is>
      </c>
      <c r="E960" s="661" t="inlineStr">
        <is>
          <t>PKLN</t>
        </is>
      </c>
      <c r="F960" s="661" t="inlineStr">
        <is>
          <t>U 1 WALL CORRU CB 2510X360MM</t>
        </is>
      </c>
      <c r="G960" s="662" t="inlineStr">
        <is>
          <t>D</t>
        </is>
      </c>
      <c r="L960" s="663" t="e">
        <v>#REF!</v>
      </c>
    </row>
    <row r="961">
      <c r="B961" s="659" t="n">
        <v>901909</v>
      </c>
      <c r="C961" s="661" t="inlineStr">
        <is>
          <t>2047A</t>
        </is>
      </c>
      <c r="D961" s="661" t="inlineStr">
        <is>
          <t>NHU QUYNH</t>
        </is>
      </c>
      <c r="E961" s="661" t="inlineStr">
        <is>
          <t>RCT</t>
        </is>
      </c>
      <c r="F961" s="661" t="inlineStr">
        <is>
          <t>RSC-PN-1030X240X175MM</t>
        </is>
      </c>
      <c r="G961" s="662" t="inlineStr">
        <is>
          <t>D</t>
        </is>
      </c>
      <c r="L961" s="663" t="e">
        <v>#REF!</v>
      </c>
    </row>
    <row r="962">
      <c r="B962" s="659" t="n">
        <v>901910</v>
      </c>
      <c r="C962" s="661" t="inlineStr">
        <is>
          <t>2065A</t>
        </is>
      </c>
      <c r="D962" s="661" t="inlineStr">
        <is>
          <t>HAN QUOC</t>
        </is>
      </c>
      <c r="E962" s="661" t="inlineStr">
        <is>
          <t>BAGE</t>
        </is>
      </c>
      <c r="F962" s="661" t="inlineStr">
        <is>
          <t>BUBBLE BAG 1100X200MM</t>
        </is>
      </c>
      <c r="G962" s="662" t="inlineStr">
        <is>
          <t>D</t>
        </is>
      </c>
      <c r="L962" s="663" t="e">
        <v>#REF!</v>
      </c>
    </row>
    <row r="963">
      <c r="B963" s="659" t="n">
        <v>901911</v>
      </c>
      <c r="C963" s="661" t="inlineStr">
        <is>
          <t>2063A</t>
        </is>
      </c>
      <c r="D963" s="661" t="inlineStr">
        <is>
          <t>YFY</t>
        </is>
      </c>
      <c r="E963" s="661" t="inlineStr">
        <is>
          <t>PKLN</t>
        </is>
      </c>
      <c r="F963" s="661" t="inlineStr">
        <is>
          <t>1 WALL CORRUGATE CB 1015X230MM</t>
        </is>
      </c>
      <c r="G963" s="662" t="inlineStr">
        <is>
          <t>D</t>
        </is>
      </c>
      <c r="L963" s="663" t="e">
        <v>#REF!</v>
      </c>
    </row>
    <row r="964">
      <c r="B964" s="659" t="n">
        <v>901912</v>
      </c>
      <c r="C964" s="661" t="inlineStr">
        <is>
          <t>2063A</t>
        </is>
      </c>
      <c r="D964" s="661" t="inlineStr">
        <is>
          <t>YFY</t>
        </is>
      </c>
      <c r="E964" s="661" t="inlineStr">
        <is>
          <t>PKLN</t>
        </is>
      </c>
      <c r="F964" s="661" t="inlineStr">
        <is>
          <t>U 1 WALL CORRUG CB 1235X145MM</t>
        </is>
      </c>
      <c r="G964" s="662" t="inlineStr">
        <is>
          <t>D</t>
        </is>
      </c>
      <c r="L964" s="663" t="e">
        <v>#REF!</v>
      </c>
    </row>
    <row r="965">
      <c r="B965" s="659" t="n">
        <v>901913</v>
      </c>
      <c r="C965" s="661" t="inlineStr">
        <is>
          <t>2047A</t>
        </is>
      </c>
      <c r="D965" s="661" t="inlineStr">
        <is>
          <t>NHU QUYNH</t>
        </is>
      </c>
      <c r="E965" s="661" t="inlineStr">
        <is>
          <t>RCT</t>
        </is>
      </c>
      <c r="F965" s="661" t="inlineStr">
        <is>
          <t>RSC-PN-1430X530X370MM</t>
        </is>
      </c>
      <c r="G965" s="662" t="inlineStr">
        <is>
          <t>D</t>
        </is>
      </c>
      <c r="L965" s="663" t="e">
        <v>#REF!</v>
      </c>
    </row>
    <row r="966">
      <c r="B966" s="659" t="n">
        <v>901914</v>
      </c>
      <c r="C966" s="661" t="inlineStr">
        <is>
          <t>2063A</t>
        </is>
      </c>
      <c r="D966" s="661" t="inlineStr">
        <is>
          <t>YFY</t>
        </is>
      </c>
      <c r="E966" s="661" t="inlineStr">
        <is>
          <t>PKLN</t>
        </is>
      </c>
      <c r="F966" s="661" t="inlineStr">
        <is>
          <t>1 WALL CORRUGATE CB 1415X520MM</t>
        </is>
      </c>
      <c r="G966" s="662" t="inlineStr">
        <is>
          <t>D</t>
        </is>
      </c>
      <c r="L966" s="663" t="e">
        <v>#REF!</v>
      </c>
    </row>
    <row r="967">
      <c r="B967" s="659" t="n">
        <v>901915</v>
      </c>
      <c r="C967" s="661" t="inlineStr">
        <is>
          <t>2063A</t>
        </is>
      </c>
      <c r="D967" s="661" t="inlineStr">
        <is>
          <t>YFY</t>
        </is>
      </c>
      <c r="E967" s="661" t="inlineStr">
        <is>
          <t>PKLN</t>
        </is>
      </c>
      <c r="F967" s="661" t="inlineStr">
        <is>
          <t>U 1 WALL CORRUG CB 1925X340MM</t>
        </is>
      </c>
      <c r="G967" s="662" t="inlineStr">
        <is>
          <t>D</t>
        </is>
      </c>
      <c r="L967" s="663" t="e">
        <v>#REF!</v>
      </c>
    </row>
    <row r="968">
      <c r="B968" s="659" t="n">
        <v>901916</v>
      </c>
      <c r="C968" s="661" t="inlineStr">
        <is>
          <t>2047A</t>
        </is>
      </c>
      <c r="D968" s="661" t="inlineStr">
        <is>
          <t>NHU QUYNH</t>
        </is>
      </c>
      <c r="E968" s="661" t="inlineStr">
        <is>
          <t>RCT</t>
        </is>
      </c>
      <c r="F968" s="661" t="inlineStr">
        <is>
          <t>RSC-PN-515X235X170MM</t>
        </is>
      </c>
      <c r="G968" s="662" t="inlineStr">
        <is>
          <t>D</t>
        </is>
      </c>
      <c r="L968" s="663" t="e">
        <v>#REF!</v>
      </c>
    </row>
    <row r="969">
      <c r="B969" s="659" t="n">
        <v>901919</v>
      </c>
      <c r="C969" s="661" t="inlineStr">
        <is>
          <t>2047A</t>
        </is>
      </c>
      <c r="D969" s="661" t="inlineStr">
        <is>
          <t>NHU QUYNH</t>
        </is>
      </c>
      <c r="E969" s="661" t="inlineStr">
        <is>
          <t>RCT</t>
        </is>
      </c>
      <c r="F969" s="661" t="inlineStr">
        <is>
          <t>RSC-PN-935X530X350MM</t>
        </is>
      </c>
      <c r="G969" s="662" t="inlineStr">
        <is>
          <t>D</t>
        </is>
      </c>
      <c r="L969" s="663" t="e">
        <v>#REF!</v>
      </c>
    </row>
    <row r="970">
      <c r="B970" s="659" t="n">
        <v>901920</v>
      </c>
      <c r="C970" s="661" t="inlineStr">
        <is>
          <t>2063A</t>
        </is>
      </c>
      <c r="D970" s="661" t="inlineStr">
        <is>
          <t>YFY</t>
        </is>
      </c>
      <c r="E970" s="661" t="inlineStr">
        <is>
          <t>PKLN</t>
        </is>
      </c>
      <c r="F970" s="661" t="inlineStr">
        <is>
          <t>1 WALL CORRUGATE CB 920X520MM</t>
        </is>
      </c>
      <c r="G970" s="662" t="inlineStr">
        <is>
          <t>D</t>
        </is>
      </c>
      <c r="L970" s="663" t="e">
        <v>#REF!</v>
      </c>
    </row>
    <row r="971">
      <c r="B971" s="659" t="n">
        <v>901921</v>
      </c>
      <c r="C971" s="661" t="inlineStr">
        <is>
          <t>2063A</t>
        </is>
      </c>
      <c r="D971" s="661" t="inlineStr">
        <is>
          <t>YFY</t>
        </is>
      </c>
      <c r="E971" s="661" t="inlineStr">
        <is>
          <t>PKLN</t>
        </is>
      </c>
      <c r="F971" s="661" t="inlineStr">
        <is>
          <t>U 1 WALL CORRUGA CB 1430X320MM</t>
        </is>
      </c>
      <c r="G971" s="662" t="inlineStr">
        <is>
          <t>D</t>
        </is>
      </c>
      <c r="L971" s="663" t="e">
        <v>#REF!</v>
      </c>
    </row>
    <row r="972">
      <c r="B972" s="659" t="n">
        <v>901922</v>
      </c>
      <c r="C972" s="661" t="inlineStr">
        <is>
          <t>2047A</t>
        </is>
      </c>
      <c r="D972" s="661" t="inlineStr">
        <is>
          <t>NHU QUYNH</t>
        </is>
      </c>
      <c r="E972" s="661" t="inlineStr">
        <is>
          <t>RCT</t>
        </is>
      </c>
      <c r="F972" s="661" t="inlineStr">
        <is>
          <t>RSC-PN-565X255X240MM</t>
        </is>
      </c>
      <c r="G972" s="662" t="inlineStr">
        <is>
          <t>D</t>
        </is>
      </c>
      <c r="L972" s="663" t="e">
        <v>#REF!</v>
      </c>
    </row>
    <row r="973">
      <c r="B973" s="659" t="n">
        <v>901925</v>
      </c>
      <c r="C973" s="661" t="inlineStr">
        <is>
          <t>2047A</t>
        </is>
      </c>
      <c r="D973" s="661" t="inlineStr">
        <is>
          <t>NHU QUYNH</t>
        </is>
      </c>
      <c r="E973" s="661" t="inlineStr">
        <is>
          <t>RCT</t>
        </is>
      </c>
      <c r="F973" s="661" t="inlineStr">
        <is>
          <t>RSC-PN-760X340X410MM</t>
        </is>
      </c>
      <c r="G973" s="662" t="inlineStr">
        <is>
          <t>D</t>
        </is>
      </c>
      <c r="L973" s="663" t="e">
        <v>#REF!</v>
      </c>
    </row>
    <row r="974">
      <c r="B974" s="659" t="n">
        <v>901926</v>
      </c>
      <c r="C974" s="661" t="inlineStr">
        <is>
          <t>2063A</t>
        </is>
      </c>
      <c r="D974" s="661" t="inlineStr">
        <is>
          <t>YFY</t>
        </is>
      </c>
      <c r="E974" s="661" t="inlineStr">
        <is>
          <t>PKLN</t>
        </is>
      </c>
      <c r="F974" s="661" t="inlineStr">
        <is>
          <t>1 WALL CORRUGATE CB 745X330MM</t>
        </is>
      </c>
      <c r="G974" s="662" t="inlineStr">
        <is>
          <t>D</t>
        </is>
      </c>
      <c r="L974" s="663" t="e">
        <v>#REF!</v>
      </c>
    </row>
    <row r="975">
      <c r="B975" s="659" t="n">
        <v>901927</v>
      </c>
      <c r="C975" s="661" t="inlineStr">
        <is>
          <t>2063A</t>
        </is>
      </c>
      <c r="D975" s="661" t="inlineStr">
        <is>
          <t>YFY</t>
        </is>
      </c>
      <c r="E975" s="661" t="inlineStr">
        <is>
          <t>PKLN</t>
        </is>
      </c>
      <c r="F975" s="661" t="inlineStr">
        <is>
          <t>U 1 WALL CORRUGA CB 1065X380MM</t>
        </is>
      </c>
      <c r="G975" s="662" t="inlineStr">
        <is>
          <t>D</t>
        </is>
      </c>
      <c r="L975" s="663" t="e">
        <v>#REF!</v>
      </c>
    </row>
    <row r="976">
      <c r="B976" s="659" t="n">
        <v>901969</v>
      </c>
      <c r="C976" s="661" t="inlineStr">
        <is>
          <t>2047A</t>
        </is>
      </c>
      <c r="D976" s="661" t="inlineStr">
        <is>
          <t>NHU QUYNH</t>
        </is>
      </c>
      <c r="E976" s="661" t="inlineStr">
        <is>
          <t>RCT</t>
        </is>
      </c>
      <c r="F976" s="661" t="inlineStr">
        <is>
          <t>TELE-UN-35X30X7INCH</t>
        </is>
      </c>
      <c r="G976" s="662" t="inlineStr">
        <is>
          <t>D</t>
        </is>
      </c>
      <c r="L976" s="663" t="e">
        <v>#REF!</v>
      </c>
    </row>
    <row r="977">
      <c r="B977" s="659" t="n">
        <v>901970</v>
      </c>
      <c r="C977" s="661" t="inlineStr">
        <is>
          <t>2047A</t>
        </is>
      </c>
      <c r="D977" s="661" t="inlineStr">
        <is>
          <t>NHU QUYNH</t>
        </is>
      </c>
      <c r="E977" s="661" t="inlineStr">
        <is>
          <t>RCT</t>
        </is>
      </c>
      <c r="F977" s="661" t="inlineStr">
        <is>
          <t>TELE-PN-2020X355X130MM</t>
        </is>
      </c>
      <c r="G977" s="662" t="inlineStr">
        <is>
          <t>D</t>
        </is>
      </c>
      <c r="L977" s="663" t="e">
        <v>#REF!</v>
      </c>
    </row>
    <row r="978">
      <c r="B978" s="659" t="n">
        <v>901971</v>
      </c>
      <c r="C978" s="661" t="inlineStr">
        <is>
          <t>2065A</t>
        </is>
      </c>
      <c r="D978" s="661" t="inlineStr">
        <is>
          <t>HAN QUOC</t>
        </is>
      </c>
      <c r="E978" s="661" t="inlineStr">
        <is>
          <t>BAGE</t>
        </is>
      </c>
      <c r="F978" s="661" t="inlineStr">
        <is>
          <t>BUBBLE BAG 2000X100MM</t>
        </is>
      </c>
      <c r="G978" s="662" t="inlineStr">
        <is>
          <t>D</t>
        </is>
      </c>
      <c r="L978" s="663" t="e">
        <v>#REF!</v>
      </c>
    </row>
    <row r="979">
      <c r="B979" s="659" t="n">
        <v>901972</v>
      </c>
      <c r="C979" s="661" t="inlineStr">
        <is>
          <t>2063A</t>
        </is>
      </c>
      <c r="D979" s="661" t="inlineStr">
        <is>
          <t>YFY</t>
        </is>
      </c>
      <c r="E979" s="661" t="inlineStr">
        <is>
          <t>PKLN</t>
        </is>
      </c>
      <c r="F979" s="661" t="inlineStr">
        <is>
          <t>1 WALL SEP CORRU CB 1975X310MM</t>
        </is>
      </c>
      <c r="G979" s="662" t="inlineStr">
        <is>
          <t>D</t>
        </is>
      </c>
      <c r="L979" s="663" t="e">
        <v>#REF!</v>
      </c>
    </row>
    <row r="980">
      <c r="B980" s="659" t="n">
        <v>901975</v>
      </c>
      <c r="C980" s="661" t="inlineStr">
        <is>
          <t>2047A</t>
        </is>
      </c>
      <c r="D980" s="661" t="inlineStr">
        <is>
          <t>NHU QUYNH</t>
        </is>
      </c>
      <c r="E980" s="661" t="inlineStr">
        <is>
          <t>RCT</t>
        </is>
      </c>
      <c r="F980" s="661" t="inlineStr">
        <is>
          <t>TELE-PN-1020X460X170MM</t>
        </is>
      </c>
      <c r="G980" s="662" t="inlineStr">
        <is>
          <t>D</t>
        </is>
      </c>
      <c r="L980" s="663" t="e">
        <v>#REF!</v>
      </c>
    </row>
    <row r="981">
      <c r="B981" s="659" t="n">
        <v>901976</v>
      </c>
      <c r="C981" s="661" t="inlineStr">
        <is>
          <t>2063A</t>
        </is>
      </c>
      <c r="D981" s="661" t="inlineStr">
        <is>
          <t>YFY</t>
        </is>
      </c>
      <c r="E981" s="661" t="inlineStr">
        <is>
          <t>PKLN</t>
        </is>
      </c>
      <c r="F981" s="661" t="inlineStr">
        <is>
          <t>1 WALL SEP CORRU CB 975X415MM</t>
        </is>
      </c>
      <c r="G981" s="662" t="inlineStr">
        <is>
          <t>D</t>
        </is>
      </c>
      <c r="L981" s="663" t="e">
        <v>#REF!</v>
      </c>
    </row>
    <row r="982">
      <c r="B982" s="659" t="n">
        <v>901979</v>
      </c>
      <c r="C982" s="661" t="inlineStr">
        <is>
          <t>2063A</t>
        </is>
      </c>
      <c r="D982" s="661" t="inlineStr">
        <is>
          <t>YFY</t>
        </is>
      </c>
      <c r="E982" s="661" t="inlineStr">
        <is>
          <t>PKLN</t>
        </is>
      </c>
      <c r="F982" s="661" t="inlineStr">
        <is>
          <t>1 WALL SEP CORRU CB 1020X250MM</t>
        </is>
      </c>
      <c r="G982" s="662" t="inlineStr">
        <is>
          <t>D</t>
        </is>
      </c>
      <c r="L982" s="663" t="e">
        <v>#REF!</v>
      </c>
    </row>
    <row r="983">
      <c r="B983" s="659" t="n">
        <v>901980</v>
      </c>
      <c r="C983" s="661" t="inlineStr">
        <is>
          <t>2047A</t>
        </is>
      </c>
      <c r="D983" s="661" t="inlineStr">
        <is>
          <t>NHU QUYNH</t>
        </is>
      </c>
      <c r="E983" s="661" t="inlineStr">
        <is>
          <t>RCT</t>
        </is>
      </c>
      <c r="F983" s="661" t="inlineStr">
        <is>
          <t>RSC-PN-565X330X240MM</t>
        </is>
      </c>
      <c r="G983" s="662" t="inlineStr">
        <is>
          <t>D</t>
        </is>
      </c>
      <c r="L983" s="663" t="e">
        <v>#REF!</v>
      </c>
    </row>
    <row r="984">
      <c r="B984" s="659" t="n">
        <v>901981</v>
      </c>
      <c r="C984" s="661" t="inlineStr">
        <is>
          <t>2063A</t>
        </is>
      </c>
      <c r="D984" s="661" t="inlineStr">
        <is>
          <t>YFY</t>
        </is>
      </c>
      <c r="E984" s="661" t="inlineStr">
        <is>
          <t>PKLN</t>
        </is>
      </c>
      <c r="F984" s="661" t="inlineStr">
        <is>
          <t>1 WALL SEP CORRU CB 540X310MM</t>
        </is>
      </c>
      <c r="G984" s="662" t="inlineStr">
        <is>
          <t>D</t>
        </is>
      </c>
      <c r="L984" s="663" t="e">
        <v>#REF!</v>
      </c>
    </row>
    <row r="985">
      <c r="B985" s="659" t="n">
        <v>901982</v>
      </c>
      <c r="C985" s="661" t="inlineStr">
        <is>
          <t>2047A</t>
        </is>
      </c>
      <c r="D985" s="661" t="inlineStr">
        <is>
          <t>NHU QUYNH</t>
        </is>
      </c>
      <c r="E985" s="661" t="inlineStr">
        <is>
          <t>RCT</t>
        </is>
      </c>
      <c r="F985" s="661" t="inlineStr">
        <is>
          <t>RSC-PN-830X330X140MM</t>
        </is>
      </c>
      <c r="G985" s="662" t="inlineStr">
        <is>
          <t>D</t>
        </is>
      </c>
      <c r="L985" s="663" t="e">
        <v>#REF!</v>
      </c>
    </row>
    <row r="986">
      <c r="B986" s="659" t="n">
        <v>901983</v>
      </c>
      <c r="C986" s="661" t="inlineStr">
        <is>
          <t>2063A</t>
        </is>
      </c>
      <c r="D986" s="661" t="inlineStr">
        <is>
          <t>YFY</t>
        </is>
      </c>
      <c r="E986" s="661" t="inlineStr">
        <is>
          <t>PKLN</t>
        </is>
      </c>
      <c r="F986" s="661" t="inlineStr">
        <is>
          <t>1 WALL SEP CORRU CB 805X310MM</t>
        </is>
      </c>
      <c r="G986" s="662" t="inlineStr">
        <is>
          <t>D</t>
        </is>
      </c>
      <c r="L986" s="663" t="e">
        <v>#REF!</v>
      </c>
    </row>
    <row r="987">
      <c r="B987" s="659" t="n">
        <v>901986</v>
      </c>
      <c r="C987" s="661" t="inlineStr">
        <is>
          <t>2065A</t>
        </is>
      </c>
      <c r="D987" s="661" t="inlineStr">
        <is>
          <t>HAN QUOC</t>
        </is>
      </c>
      <c r="E987" s="661" t="inlineStr">
        <is>
          <t>BAGE</t>
        </is>
      </c>
      <c r="F987" s="661" t="inlineStr">
        <is>
          <t>BUBBLE BAG 900X100MM</t>
        </is>
      </c>
      <c r="G987" s="662" t="inlineStr">
        <is>
          <t>D</t>
        </is>
      </c>
      <c r="L987" s="663" t="e">
        <v>#REF!</v>
      </c>
    </row>
    <row r="988">
      <c r="B988" s="659" t="n">
        <v>901987</v>
      </c>
      <c r="C988" s="661" t="inlineStr">
        <is>
          <t>2047A</t>
        </is>
      </c>
      <c r="D988" s="661" t="inlineStr">
        <is>
          <t>NHU QUYNH</t>
        </is>
      </c>
      <c r="E988" s="661" t="inlineStr">
        <is>
          <t>RCT</t>
        </is>
      </c>
      <c r="F988" s="661" t="inlineStr">
        <is>
          <t>RSC-PN-905X330X140MM</t>
        </is>
      </c>
      <c r="G988" s="662" t="inlineStr">
        <is>
          <t>D</t>
        </is>
      </c>
      <c r="L988" s="663" t="e">
        <v>#REF!</v>
      </c>
    </row>
    <row r="989">
      <c r="B989" s="659" t="n">
        <v>901988</v>
      </c>
      <c r="C989" s="661" t="inlineStr">
        <is>
          <t>2063A</t>
        </is>
      </c>
      <c r="D989" s="661" t="inlineStr">
        <is>
          <t>YFY</t>
        </is>
      </c>
      <c r="E989" s="661" t="inlineStr">
        <is>
          <t>PKLN</t>
        </is>
      </c>
      <c r="F989" s="661" t="inlineStr">
        <is>
          <t>1 WALL SEP CORRU CB 880X310MM</t>
        </is>
      </c>
      <c r="G989" s="662" t="inlineStr">
        <is>
          <t>D</t>
        </is>
      </c>
      <c r="L989" s="663" t="e">
        <v>#REF!</v>
      </c>
    </row>
    <row r="990">
      <c r="B990" s="659" t="n">
        <v>901989</v>
      </c>
      <c r="C990" s="661" t="inlineStr">
        <is>
          <t>2047A</t>
        </is>
      </c>
      <c r="D990" s="661" t="inlineStr">
        <is>
          <t>NHU QUYNH</t>
        </is>
      </c>
      <c r="E990" s="661" t="inlineStr">
        <is>
          <t>RCT</t>
        </is>
      </c>
      <c r="F990" s="661" t="inlineStr">
        <is>
          <t>TELE-PN-1605X355X130MM</t>
        </is>
      </c>
      <c r="G990" s="662" t="inlineStr">
        <is>
          <t>D</t>
        </is>
      </c>
      <c r="L990" s="663" t="e">
        <v>#REF!</v>
      </c>
    </row>
    <row r="991">
      <c r="B991" s="659" t="n">
        <v>901990</v>
      </c>
      <c r="C991" s="661" t="inlineStr">
        <is>
          <t>2063A</t>
        </is>
      </c>
      <c r="D991" s="661" t="inlineStr">
        <is>
          <t>YFY</t>
        </is>
      </c>
      <c r="E991" s="661" t="inlineStr">
        <is>
          <t>PKLN</t>
        </is>
      </c>
      <c r="F991" s="661" t="inlineStr">
        <is>
          <t>1 WALL SEP CORRU CB 1560X310MM</t>
        </is>
      </c>
      <c r="G991" s="662" t="inlineStr">
        <is>
          <t>D</t>
        </is>
      </c>
      <c r="L991" s="663" t="e">
        <v>#REF!</v>
      </c>
    </row>
    <row r="992">
      <c r="B992" s="659" t="n">
        <v>901991</v>
      </c>
      <c r="C992" s="661" t="inlineStr">
        <is>
          <t>2065A</t>
        </is>
      </c>
      <c r="D992" s="661" t="inlineStr">
        <is>
          <t>HAN QUOC</t>
        </is>
      </c>
      <c r="E992" s="661" t="inlineStr">
        <is>
          <t>BAGE</t>
        </is>
      </c>
      <c r="F992" s="661" t="inlineStr">
        <is>
          <t>BUBBLE BAG 1600X100MM</t>
        </is>
      </c>
      <c r="G992" s="662" t="inlineStr">
        <is>
          <t>D</t>
        </is>
      </c>
      <c r="L992" s="663" t="e">
        <v>#REF!</v>
      </c>
    </row>
    <row r="993">
      <c r="B993" s="659" t="n">
        <v>901992</v>
      </c>
      <c r="C993" s="661" t="inlineStr">
        <is>
          <t>2047A</t>
        </is>
      </c>
      <c r="D993" s="661" t="inlineStr">
        <is>
          <t>NHU QUYNH</t>
        </is>
      </c>
      <c r="E993" s="661" t="inlineStr">
        <is>
          <t>RCT</t>
        </is>
      </c>
      <c r="F993" s="661" t="inlineStr">
        <is>
          <t>TELE-PN-1525X355X130MM</t>
        </is>
      </c>
      <c r="G993" s="662" t="inlineStr">
        <is>
          <t>D</t>
        </is>
      </c>
      <c r="L993" s="663" t="e">
        <v>#REF!</v>
      </c>
    </row>
    <row r="994">
      <c r="B994" s="659" t="n">
        <v>901993</v>
      </c>
      <c r="C994" s="661" t="inlineStr">
        <is>
          <t>2063A</t>
        </is>
      </c>
      <c r="D994" s="661" t="inlineStr">
        <is>
          <t>YFY</t>
        </is>
      </c>
      <c r="E994" s="661" t="inlineStr">
        <is>
          <t>PKLN</t>
        </is>
      </c>
      <c r="F994" s="661" t="inlineStr">
        <is>
          <t>1 WALL SEP CORRU CB 1480X310MM</t>
        </is>
      </c>
      <c r="G994" s="662" t="inlineStr">
        <is>
          <t>D</t>
        </is>
      </c>
      <c r="L994" s="663" t="e">
        <v>#REF!</v>
      </c>
    </row>
    <row r="995">
      <c r="B995" s="659" t="n">
        <v>901994</v>
      </c>
      <c r="C995" s="661" t="inlineStr">
        <is>
          <t>2065A</t>
        </is>
      </c>
      <c r="D995" s="661" t="inlineStr">
        <is>
          <t>HAN QUOC</t>
        </is>
      </c>
      <c r="E995" s="661" t="inlineStr">
        <is>
          <t>BAGE</t>
        </is>
      </c>
      <c r="F995" s="661" t="inlineStr">
        <is>
          <t>BUBBLE BAG 1500X100MM</t>
        </is>
      </c>
      <c r="G995" s="662" t="inlineStr">
        <is>
          <t>D</t>
        </is>
      </c>
      <c r="L995" s="663" t="e">
        <v>#REF!</v>
      </c>
    </row>
    <row r="996">
      <c r="B996" s="659" t="n">
        <v>902024</v>
      </c>
      <c r="C996" s="661" t="inlineStr">
        <is>
          <t>2047A</t>
        </is>
      </c>
      <c r="D996" s="661" t="inlineStr">
        <is>
          <t>NHU QUYNH</t>
        </is>
      </c>
      <c r="E996" s="661" t="inlineStr">
        <is>
          <t>RCT</t>
        </is>
      </c>
      <c r="F996" s="661" t="inlineStr">
        <is>
          <t>TELE-UN-35.75X25.75X8.5INCH</t>
        </is>
      </c>
      <c r="G996" s="662" t="inlineStr">
        <is>
          <t>D</t>
        </is>
      </c>
      <c r="L996" s="663" t="e">
        <v>#REF!</v>
      </c>
    </row>
    <row r="997">
      <c r="B997" s="659" t="n">
        <v>902029</v>
      </c>
      <c r="C997" s="661" t="inlineStr">
        <is>
          <t>2047A</t>
        </is>
      </c>
      <c r="D997" s="661" t="inlineStr">
        <is>
          <t>NHU QUYNH</t>
        </is>
      </c>
      <c r="E997" s="661" t="inlineStr">
        <is>
          <t>RCT</t>
        </is>
      </c>
      <c r="F997" s="661" t="inlineStr">
        <is>
          <t>RSC-UN-50X30X16INCH</t>
        </is>
      </c>
      <c r="G997" s="662" t="inlineStr">
        <is>
          <t>D</t>
        </is>
      </c>
      <c r="L997" s="663" t="e">
        <v>#REF!</v>
      </c>
    </row>
    <row r="998">
      <c r="B998" s="659" t="n">
        <v>902030</v>
      </c>
      <c r="C998" s="661" t="inlineStr">
        <is>
          <t>2063A</t>
        </is>
      </c>
      <c r="D998" s="661" t="inlineStr">
        <is>
          <t>YFY</t>
        </is>
      </c>
      <c r="E998" s="661" t="inlineStr">
        <is>
          <t>PKLN</t>
        </is>
      </c>
      <c r="F998" s="661" t="inlineStr">
        <is>
          <t>U 2 WALL CORRUGATE 1994X386 UN</t>
        </is>
      </c>
      <c r="G998" s="662" t="inlineStr">
        <is>
          <t>D</t>
        </is>
      </c>
      <c r="L998" s="663" t="e">
        <v>#REF!</v>
      </c>
    </row>
    <row r="999">
      <c r="B999" s="659" t="n">
        <v>902032</v>
      </c>
      <c r="C999" s="661" t="inlineStr">
        <is>
          <t>2047A</t>
        </is>
      </c>
      <c r="D999" s="661" t="inlineStr">
        <is>
          <t>NHU QUYNH</t>
        </is>
      </c>
      <c r="E999" s="661" t="inlineStr">
        <is>
          <t>RCT</t>
        </is>
      </c>
      <c r="F999" s="661" t="inlineStr">
        <is>
          <t>TELE-UN-37X37X8INCH</t>
        </is>
      </c>
      <c r="G999" s="662" t="inlineStr">
        <is>
          <t>D</t>
        </is>
      </c>
      <c r="L999" s="663" t="e">
        <v>#REF!</v>
      </c>
    </row>
    <row r="1000">
      <c r="B1000" s="659" t="n">
        <v>902061</v>
      </c>
      <c r="C1000" s="661" t="inlineStr">
        <is>
          <t>2038A</t>
        </is>
      </c>
      <c r="D1000" s="661" t="inlineStr">
        <is>
          <t>THUONGVIET</t>
        </is>
      </c>
      <c r="E1000" s="661" t="inlineStr">
        <is>
          <t>MISN</t>
        </is>
      </c>
      <c r="F1000" s="661" t="inlineStr">
        <is>
          <t>PACKING TAPE W7CM</t>
        </is>
      </c>
      <c r="G1000" s="662" t="inlineStr">
        <is>
          <t>D</t>
        </is>
      </c>
      <c r="L1000" s="663" t="e">
        <v>#REF!</v>
      </c>
    </row>
    <row r="1001">
      <c r="B1001" s="659" t="n">
        <v>902074</v>
      </c>
      <c r="C1001" s="661" t="inlineStr">
        <is>
          <t>2047A</t>
        </is>
      </c>
      <c r="D1001" s="661" t="inlineStr">
        <is>
          <t>NHU QUYNH</t>
        </is>
      </c>
      <c r="E1001" s="661" t="inlineStr">
        <is>
          <t>RCT</t>
        </is>
      </c>
      <c r="F1001" s="661" t="inlineStr">
        <is>
          <t>PLANEBOX-40X20X2"</t>
        </is>
      </c>
      <c r="G1001" s="662" t="inlineStr">
        <is>
          <t>D</t>
        </is>
      </c>
      <c r="L1001" s="663" t="e">
        <v>#REF!</v>
      </c>
    </row>
    <row r="1002">
      <c r="B1002" s="659" t="n">
        <v>903000</v>
      </c>
      <c r="C1002" s="661" t="inlineStr">
        <is>
          <t>2063A</t>
        </is>
      </c>
      <c r="D1002" s="661" t="inlineStr">
        <is>
          <t>YFY</t>
        </is>
      </c>
      <c r="E1002" s="661" t="inlineStr">
        <is>
          <t>PKLN</t>
        </is>
      </c>
      <c r="F1002" s="661" t="inlineStr">
        <is>
          <t>1 WALL CORRUGAT CB 1030X260MM</t>
        </is>
      </c>
      <c r="G1002" s="662" t="inlineStr">
        <is>
          <t>D</t>
        </is>
      </c>
      <c r="L1002" s="663" t="e">
        <v>#REF!</v>
      </c>
    </row>
    <row r="1003">
      <c r="B1003" s="659" t="n">
        <v>903001</v>
      </c>
      <c r="C1003" s="661" t="inlineStr">
        <is>
          <t>2063A</t>
        </is>
      </c>
      <c r="D1003" s="661" t="inlineStr">
        <is>
          <t>YFY</t>
        </is>
      </c>
      <c r="E1003" s="661" t="inlineStr">
        <is>
          <t>PKLN</t>
        </is>
      </c>
      <c r="F1003" s="661" t="inlineStr">
        <is>
          <t>U 1 WALL CORRU CB 1280X185MM</t>
        </is>
      </c>
      <c r="G1003" s="662" t="inlineStr">
        <is>
          <t>D</t>
        </is>
      </c>
      <c r="L1003" s="663" t="e">
        <v>#REF!</v>
      </c>
    </row>
    <row r="1004">
      <c r="B1004" s="659" t="n">
        <v>903002</v>
      </c>
      <c r="C1004" s="661" t="inlineStr">
        <is>
          <t>2065A</t>
        </is>
      </c>
      <c r="D1004" s="661" t="inlineStr">
        <is>
          <t>HAN QUOC</t>
        </is>
      </c>
      <c r="E1004" s="661" t="inlineStr">
        <is>
          <t>BAGE</t>
        </is>
      </c>
      <c r="F1004" s="661" t="inlineStr">
        <is>
          <t>BUBBLE BAG 300X150MM-1</t>
        </is>
      </c>
      <c r="G1004" s="662" t="inlineStr">
        <is>
          <t>D</t>
        </is>
      </c>
      <c r="L1004" s="663" t="e">
        <v>#REF!</v>
      </c>
    </row>
    <row r="1005">
      <c r="B1005" s="659" t="n">
        <v>903003</v>
      </c>
      <c r="C1005" s="661" t="inlineStr">
        <is>
          <t>2047A</t>
        </is>
      </c>
      <c r="D1005" s="661" t="inlineStr">
        <is>
          <t>NHU QUYNH</t>
        </is>
      </c>
      <c r="E1005" s="661" t="inlineStr">
        <is>
          <t>RCT</t>
        </is>
      </c>
      <c r="F1005" s="661" t="inlineStr">
        <is>
          <t>TELE-PN-715X660X215MM</t>
        </is>
      </c>
      <c r="G1005" s="662" t="inlineStr">
        <is>
          <t>D</t>
        </is>
      </c>
      <c r="L1005" s="663" t="e">
        <v>#REF!</v>
      </c>
    </row>
    <row r="1006">
      <c r="B1006" s="659" t="n">
        <v>903004</v>
      </c>
      <c r="C1006" s="661" t="inlineStr">
        <is>
          <t>2065A</t>
        </is>
      </c>
      <c r="D1006" s="661" t="inlineStr">
        <is>
          <t>HAN QUOC</t>
        </is>
      </c>
      <c r="E1006" s="661" t="inlineStr">
        <is>
          <t>BAGE</t>
        </is>
      </c>
      <c r="F1006" s="661" t="inlineStr">
        <is>
          <t>BUBBLE BAG 750X350MM</t>
        </is>
      </c>
      <c r="G1006" s="662" t="inlineStr">
        <is>
          <t>D</t>
        </is>
      </c>
      <c r="L1006" s="663" t="e">
        <v>#REF!</v>
      </c>
    </row>
    <row r="1007">
      <c r="B1007" s="659" t="n">
        <v>903005</v>
      </c>
      <c r="C1007" s="661" t="inlineStr">
        <is>
          <t>2047A</t>
        </is>
      </c>
      <c r="D1007" s="661" t="inlineStr">
        <is>
          <t>NHU QUYNH</t>
        </is>
      </c>
      <c r="E1007" s="661" t="inlineStr">
        <is>
          <t>RCT</t>
        </is>
      </c>
      <c r="F1007" s="661" t="inlineStr">
        <is>
          <t>TELE-PN-1980X270X105MM</t>
        </is>
      </c>
      <c r="G1007" s="662" t="inlineStr">
        <is>
          <t>D</t>
        </is>
      </c>
      <c r="L1007" s="663" t="e">
        <v>#REF!</v>
      </c>
    </row>
    <row r="1008">
      <c r="B1008" s="659" t="n">
        <v>903008</v>
      </c>
      <c r="C1008" s="661" t="inlineStr">
        <is>
          <t>2047A</t>
        </is>
      </c>
      <c r="D1008" s="661" t="inlineStr">
        <is>
          <t>NHU QUYNH</t>
        </is>
      </c>
      <c r="E1008" s="661" t="inlineStr">
        <is>
          <t>RCT</t>
        </is>
      </c>
      <c r="F1008" s="661" t="inlineStr">
        <is>
          <t>RSC-PN-1350X260X190MM</t>
        </is>
      </c>
      <c r="G1008" s="662" t="inlineStr">
        <is>
          <t>D</t>
        </is>
      </c>
      <c r="L1008" s="663" t="e">
        <v>#REF!</v>
      </c>
    </row>
    <row r="1009">
      <c r="B1009" s="659" t="n">
        <v>903009</v>
      </c>
      <c r="C1009" s="661" t="inlineStr">
        <is>
          <t>2065A</t>
        </is>
      </c>
      <c r="D1009" s="661" t="inlineStr">
        <is>
          <t>HAN QUOC</t>
        </is>
      </c>
      <c r="E1009" s="661" t="inlineStr">
        <is>
          <t>BAGE</t>
        </is>
      </c>
      <c r="F1009" s="661" t="inlineStr">
        <is>
          <t>BUBBLE BAG 1450X150MM</t>
        </is>
      </c>
      <c r="G1009" s="662" t="inlineStr">
        <is>
          <t>D</t>
        </is>
      </c>
      <c r="L1009" s="663" t="e">
        <v>#REF!</v>
      </c>
    </row>
    <row r="1010">
      <c r="B1010" s="659" t="n">
        <v>903010</v>
      </c>
      <c r="C1010" s="661" t="inlineStr">
        <is>
          <t>2063A</t>
        </is>
      </c>
      <c r="D1010" s="661" t="inlineStr">
        <is>
          <t>YFY</t>
        </is>
      </c>
      <c r="E1010" s="661" t="inlineStr">
        <is>
          <t>PKLN</t>
        </is>
      </c>
      <c r="F1010" s="661" t="inlineStr">
        <is>
          <t>1 WALL CORRUGA CB 1335X250MM</t>
        </is>
      </c>
      <c r="G1010" s="662" t="inlineStr">
        <is>
          <t>D</t>
        </is>
      </c>
      <c r="L1010" s="663" t="e">
        <v>#REF!</v>
      </c>
    </row>
    <row r="1011">
      <c r="B1011" s="659" t="n">
        <v>903011</v>
      </c>
      <c r="C1011" s="661" t="inlineStr">
        <is>
          <t>2063A</t>
        </is>
      </c>
      <c r="D1011" s="661" t="inlineStr">
        <is>
          <t>YFY</t>
        </is>
      </c>
      <c r="E1011" s="661" t="inlineStr">
        <is>
          <t>PKLN</t>
        </is>
      </c>
      <c r="F1011" s="661" t="inlineStr">
        <is>
          <t>U 1 WALL CORRUGA CB 1575X160MM</t>
        </is>
      </c>
      <c r="G1011" s="662" t="inlineStr">
        <is>
          <t>D</t>
        </is>
      </c>
      <c r="L1011" s="663" t="e">
        <v>#REF!</v>
      </c>
    </row>
    <row r="1012">
      <c r="B1012" s="659" t="n">
        <v>903012</v>
      </c>
      <c r="C1012" s="661" t="inlineStr">
        <is>
          <t>2047A</t>
        </is>
      </c>
      <c r="D1012" s="661" t="inlineStr">
        <is>
          <t>NHU QUYNH</t>
        </is>
      </c>
      <c r="E1012" s="661" t="inlineStr">
        <is>
          <t>RCT</t>
        </is>
      </c>
      <c r="F1012" s="661" t="inlineStr">
        <is>
          <t>RSC-PN-570X320X430MM</t>
        </is>
      </c>
      <c r="G1012" s="662" t="inlineStr">
        <is>
          <t>D</t>
        </is>
      </c>
      <c r="L1012" s="663" t="e">
        <v>#REF!</v>
      </c>
    </row>
    <row r="1013">
      <c r="B1013" s="659" t="n">
        <v>903014</v>
      </c>
      <c r="C1013" s="661" t="inlineStr">
        <is>
          <t>2047A</t>
        </is>
      </c>
      <c r="D1013" s="661" t="inlineStr">
        <is>
          <t>NHU QUYNH</t>
        </is>
      </c>
      <c r="E1013" s="661" t="inlineStr">
        <is>
          <t>RCT</t>
        </is>
      </c>
      <c r="F1013" s="661" t="inlineStr">
        <is>
          <t>TELE-PN-715X610X225MM</t>
        </is>
      </c>
      <c r="G1013" s="662" t="inlineStr">
        <is>
          <t>D</t>
        </is>
      </c>
      <c r="L1013" s="663" t="e">
        <v>#REF!</v>
      </c>
    </row>
    <row r="1014">
      <c r="B1014" s="659" t="n">
        <v>903081</v>
      </c>
      <c r="C1014" s="661" t="inlineStr">
        <is>
          <t>2065A</t>
        </is>
      </c>
      <c r="D1014" s="661" t="inlineStr">
        <is>
          <t>HAN QUOC</t>
        </is>
      </c>
      <c r="E1014" s="661" t="inlineStr">
        <is>
          <t>BAGE</t>
        </is>
      </c>
      <c r="F1014" s="661" t="inlineStr">
        <is>
          <t>BUBBLE BAG 2050X150MM</t>
        </is>
      </c>
      <c r="G1014" s="662" t="inlineStr">
        <is>
          <t>D</t>
        </is>
      </c>
      <c r="L1014" s="663" t="e">
        <v>#REF!</v>
      </c>
    </row>
    <row r="1015">
      <c r="B1015" s="659" t="n">
        <v>903159</v>
      </c>
      <c r="C1015" s="661" t="inlineStr">
        <is>
          <t>2070A</t>
        </is>
      </c>
      <c r="D1015" s="661" t="inlineStr">
        <is>
          <t>DUC AN</t>
        </is>
      </c>
      <c r="E1015" s="661" t="inlineStr">
        <is>
          <t>UEPM</t>
        </is>
      </c>
      <c r="F1015" s="661" t="inlineStr">
        <is>
          <t>EPS 60X60X45MM 13KG SC</t>
        </is>
      </c>
      <c r="G1015" s="662" t="inlineStr">
        <is>
          <t>D</t>
        </is>
      </c>
      <c r="L1015" s="663" t="e">
        <v>#REF!</v>
      </c>
    </row>
    <row r="1016">
      <c r="B1016" s="659" t="n">
        <v>903160</v>
      </c>
      <c r="C1016" s="661" t="inlineStr">
        <is>
          <t>2065A</t>
        </is>
      </c>
      <c r="D1016" s="661" t="inlineStr">
        <is>
          <t>HAN QUOC</t>
        </is>
      </c>
      <c r="E1016" s="661" t="inlineStr">
        <is>
          <t>BAGE</t>
        </is>
      </c>
      <c r="F1016" s="661" t="inlineStr">
        <is>
          <t>BUBBLE BAG 700X350MM</t>
        </is>
      </c>
      <c r="G1016" s="662" t="inlineStr">
        <is>
          <t>D</t>
        </is>
      </c>
      <c r="L1016" s="663" t="e">
        <v>#REF!</v>
      </c>
    </row>
    <row r="1017">
      <c r="B1017" s="659" t="n">
        <v>903161</v>
      </c>
      <c r="C1017" s="661" t="inlineStr">
        <is>
          <t>2047A</t>
        </is>
      </c>
      <c r="D1017" s="661" t="inlineStr">
        <is>
          <t>NHU QUYNH</t>
        </is>
      </c>
      <c r="E1017" s="661" t="inlineStr">
        <is>
          <t>RCT</t>
        </is>
      </c>
      <c r="F1017" s="661" t="inlineStr">
        <is>
          <t>RSC-PN-1730X230X135MM</t>
        </is>
      </c>
      <c r="G1017" s="662" t="inlineStr">
        <is>
          <t>D</t>
        </is>
      </c>
      <c r="L1017" s="663" t="e">
        <v>#REF!</v>
      </c>
    </row>
    <row r="1018">
      <c r="B1018" s="659" t="n">
        <v>903163</v>
      </c>
      <c r="C1018" s="661" t="inlineStr">
        <is>
          <t>2063A</t>
        </is>
      </c>
      <c r="D1018" s="661" t="inlineStr">
        <is>
          <t>YFY</t>
        </is>
      </c>
      <c r="E1018" s="661" t="inlineStr">
        <is>
          <t>PKLN</t>
        </is>
      </c>
      <c r="F1018" s="661" t="inlineStr">
        <is>
          <t>1 WALL CORRU CB 1715X220MM</t>
        </is>
      </c>
      <c r="G1018" s="662" t="inlineStr">
        <is>
          <t>D</t>
        </is>
      </c>
      <c r="L1018" s="663" t="e">
        <v>#REF!</v>
      </c>
    </row>
    <row r="1019">
      <c r="B1019" s="659" t="n">
        <v>903164</v>
      </c>
      <c r="C1019" s="661" t="inlineStr">
        <is>
          <t>2063A</t>
        </is>
      </c>
      <c r="D1019" s="661" t="inlineStr">
        <is>
          <t>YFY</t>
        </is>
      </c>
      <c r="E1019" s="661" t="inlineStr">
        <is>
          <t>PKLN</t>
        </is>
      </c>
      <c r="F1019" s="661" t="inlineStr">
        <is>
          <t>U 1 WALL CORRU CB 1925X105MM</t>
        </is>
      </c>
      <c r="G1019" s="662" t="inlineStr">
        <is>
          <t>D</t>
        </is>
      </c>
      <c r="L1019" s="663" t="e">
        <v>#REF!</v>
      </c>
    </row>
    <row r="1020">
      <c r="B1020" s="659" t="n">
        <v>903165</v>
      </c>
      <c r="C1020" s="661" t="inlineStr">
        <is>
          <t>2047A</t>
        </is>
      </c>
      <c r="D1020" s="661" t="inlineStr">
        <is>
          <t>NHU QUYNH</t>
        </is>
      </c>
      <c r="E1020" s="661" t="inlineStr">
        <is>
          <t>RCT</t>
        </is>
      </c>
      <c r="F1020" s="661" t="inlineStr">
        <is>
          <t>TELE-PN-1165X470X135MM</t>
        </is>
      </c>
      <c r="G1020" s="662" t="inlineStr">
        <is>
          <t>D</t>
        </is>
      </c>
      <c r="L1020" s="663" t="e">
        <v>#REF!</v>
      </c>
    </row>
    <row r="1021">
      <c r="B1021" s="659" t="n">
        <v>903166</v>
      </c>
      <c r="C1021" s="661" t="inlineStr">
        <is>
          <t>2065A</t>
        </is>
      </c>
      <c r="D1021" s="661" t="inlineStr">
        <is>
          <t>HAN QUOC</t>
        </is>
      </c>
      <c r="E1021" s="661" t="inlineStr">
        <is>
          <t>BAGE</t>
        </is>
      </c>
      <c r="F1021" s="661" t="inlineStr">
        <is>
          <t>BUBBLE BAG 2150X150MM</t>
        </is>
      </c>
      <c r="G1021" s="662" t="inlineStr">
        <is>
          <t>D</t>
        </is>
      </c>
      <c r="L1021" s="663" t="e">
        <v>#REF!</v>
      </c>
    </row>
    <row r="1022">
      <c r="B1022" s="659" t="n">
        <v>903169</v>
      </c>
      <c r="C1022" s="661" t="inlineStr">
        <is>
          <t>2047A</t>
        </is>
      </c>
      <c r="D1022" s="661" t="inlineStr">
        <is>
          <t>NHU QUYNH</t>
        </is>
      </c>
      <c r="E1022" s="661" t="inlineStr">
        <is>
          <t>RCT</t>
        </is>
      </c>
      <c r="F1022" s="661" t="inlineStr">
        <is>
          <t>RSC-PN-610X460X130MM</t>
        </is>
      </c>
      <c r="G1022" s="662" t="inlineStr">
        <is>
          <t>D</t>
        </is>
      </c>
      <c r="L1022" s="663" t="e">
        <v>#REF!</v>
      </c>
    </row>
    <row r="1023">
      <c r="B1023" s="659" t="n">
        <v>903177</v>
      </c>
      <c r="C1023" s="661" t="inlineStr">
        <is>
          <t>2047A</t>
        </is>
      </c>
      <c r="D1023" s="661" t="inlineStr">
        <is>
          <t>NHU QUYNH</t>
        </is>
      </c>
      <c r="E1023" s="661" t="inlineStr">
        <is>
          <t>RCT</t>
        </is>
      </c>
      <c r="F1023" s="661" t="inlineStr">
        <is>
          <t>RSC-PN-750X320X240MM</t>
        </is>
      </c>
      <c r="G1023" s="662" t="inlineStr">
        <is>
          <t>D</t>
        </is>
      </c>
      <c r="L1023" s="663" t="e">
        <v>#REF!</v>
      </c>
    </row>
    <row r="1024">
      <c r="B1024" s="659" t="n">
        <v>903208</v>
      </c>
      <c r="C1024" s="661" t="inlineStr">
        <is>
          <t>2065A</t>
        </is>
      </c>
      <c r="D1024" s="661" t="inlineStr">
        <is>
          <t>HAN QUOC</t>
        </is>
      </c>
      <c r="E1024" s="661" t="inlineStr">
        <is>
          <t>BAGE</t>
        </is>
      </c>
      <c r="F1024" s="661" t="inlineStr">
        <is>
          <t>BUBBLE BAG 950X200MM</t>
        </is>
      </c>
      <c r="G1024" s="662" t="inlineStr">
        <is>
          <t>D</t>
        </is>
      </c>
      <c r="L1024" s="663" t="e">
        <v>#REF!</v>
      </c>
    </row>
    <row r="1025">
      <c r="B1025" s="659" t="n">
        <v>903242</v>
      </c>
      <c r="C1025" s="661" t="inlineStr">
        <is>
          <t>2036A</t>
        </is>
      </c>
      <c r="D1025" s="661" t="inlineStr">
        <is>
          <t>TIEN THANH</t>
        </is>
      </c>
      <c r="E1025" s="661" t="inlineStr">
        <is>
          <t>BAGE</t>
        </is>
      </c>
      <c r="F1025" s="661" t="inlineStr">
        <is>
          <t>PLASTIC BAG 34X50 INCH</t>
        </is>
      </c>
      <c r="G1025" s="662" t="inlineStr">
        <is>
          <t>D</t>
        </is>
      </c>
      <c r="L1025" s="663" t="e">
        <v>#REF!</v>
      </c>
    </row>
    <row r="1026">
      <c r="B1026" s="659" t="n">
        <v>903273</v>
      </c>
      <c r="C1026" s="661" t="inlineStr">
        <is>
          <t>2065A</t>
        </is>
      </c>
      <c r="D1026" s="661" t="inlineStr">
        <is>
          <t>HAN QUOC</t>
        </is>
      </c>
      <c r="E1026" s="661" t="inlineStr">
        <is>
          <t>BAGE</t>
        </is>
      </c>
      <c r="F1026" s="661" t="inlineStr">
        <is>
          <t>BUBBLE BAG 1200X200MM</t>
        </is>
      </c>
      <c r="G1026" s="662" t="inlineStr">
        <is>
          <t>D</t>
        </is>
      </c>
      <c r="L1026" s="663" t="e">
        <v>#REF!</v>
      </c>
    </row>
    <row r="1027">
      <c r="B1027" s="659" t="n">
        <v>903278</v>
      </c>
      <c r="C1027" s="661" t="inlineStr">
        <is>
          <t>2047A</t>
        </is>
      </c>
      <c r="D1027" s="661" t="inlineStr">
        <is>
          <t>NHU QUYNH</t>
        </is>
      </c>
      <c r="E1027" s="661" t="inlineStr">
        <is>
          <t>RCT</t>
        </is>
      </c>
      <c r="F1027" s="661" t="inlineStr">
        <is>
          <t>RSC-PN-560X505X215MM</t>
        </is>
      </c>
      <c r="G1027" s="662" t="inlineStr">
        <is>
          <t>D</t>
        </is>
      </c>
      <c r="L1027" s="663" t="e">
        <v>#REF!</v>
      </c>
    </row>
    <row r="1028">
      <c r="B1028" s="659" t="n">
        <v>903284</v>
      </c>
      <c r="C1028" s="661" t="inlineStr">
        <is>
          <t>2047A</t>
        </is>
      </c>
      <c r="D1028" s="661" t="inlineStr">
        <is>
          <t>NHU QUYNH</t>
        </is>
      </c>
      <c r="E1028" s="661" t="inlineStr">
        <is>
          <t>PKLN</t>
        </is>
      </c>
      <c r="F1028" s="661" t="inlineStr">
        <is>
          <t>2 W SUPPORT CRT 520X115X315MM</t>
        </is>
      </c>
      <c r="G1028" s="662" t="inlineStr">
        <is>
          <t>D</t>
        </is>
      </c>
      <c r="L1028" s="663" t="e">
        <v>#REF!</v>
      </c>
    </row>
    <row r="1029">
      <c r="B1029" s="659" t="n">
        <v>903285</v>
      </c>
      <c r="C1029" s="661" t="inlineStr">
        <is>
          <t>2047A</t>
        </is>
      </c>
      <c r="D1029" s="661" t="inlineStr">
        <is>
          <t>NHU QUYNH</t>
        </is>
      </c>
      <c r="E1029" s="661" t="inlineStr">
        <is>
          <t>PKLN</t>
        </is>
      </c>
      <c r="F1029" s="661" t="inlineStr">
        <is>
          <t>2 W SUPPORT CRT 520X115X285MM</t>
        </is>
      </c>
      <c r="G1029" s="662" t="inlineStr">
        <is>
          <t>D</t>
        </is>
      </c>
      <c r="L1029" s="663" t="e">
        <v>#REF!</v>
      </c>
    </row>
    <row r="1030">
      <c r="B1030" s="659" t="n">
        <v>903286</v>
      </c>
      <c r="C1030" s="661" t="inlineStr">
        <is>
          <t>2047A</t>
        </is>
      </c>
      <c r="D1030" s="661" t="inlineStr">
        <is>
          <t>NHU QUYNH</t>
        </is>
      </c>
      <c r="E1030" s="661" t="inlineStr">
        <is>
          <t>PKLN</t>
        </is>
      </c>
      <c r="F1030" s="661" t="inlineStr">
        <is>
          <t>2 W SUPPORT CRT 520X115X265MM</t>
        </is>
      </c>
      <c r="G1030" s="662" t="inlineStr">
        <is>
          <t>D</t>
        </is>
      </c>
      <c r="L1030" s="663" t="e">
        <v>#REF!</v>
      </c>
    </row>
    <row r="1031">
      <c r="B1031" s="659" t="n">
        <v>903321</v>
      </c>
      <c r="C1031" s="661" t="inlineStr">
        <is>
          <t>2065A</t>
        </is>
      </c>
      <c r="D1031" s="661" t="inlineStr">
        <is>
          <t>HAN QUOC</t>
        </is>
      </c>
      <c r="E1031" s="661" t="inlineStr">
        <is>
          <t>BAGE</t>
        </is>
      </c>
      <c r="F1031" s="661" t="inlineStr">
        <is>
          <t>BUBBLE BAG 1550X200MM</t>
        </is>
      </c>
      <c r="G1031" s="662" t="inlineStr">
        <is>
          <t>D</t>
        </is>
      </c>
      <c r="L1031" s="663" t="e">
        <v>#REF!</v>
      </c>
    </row>
    <row r="1032">
      <c r="B1032" s="659" t="n">
        <v>903381</v>
      </c>
      <c r="C1032" s="661" t="inlineStr">
        <is>
          <t>2066A</t>
        </is>
      </c>
      <c r="D1032" s="661" t="inlineStr">
        <is>
          <t>CTY SG</t>
        </is>
      </c>
      <c r="E1032" s="661" t="inlineStr">
        <is>
          <t>UEPM</t>
        </is>
      </c>
      <c r="F1032" s="661" t="inlineStr">
        <is>
          <t>EPE FILM 630X315X3MM</t>
        </is>
      </c>
      <c r="G1032" s="662" t="inlineStr">
        <is>
          <t>D</t>
        </is>
      </c>
      <c r="L1032" s="663" t="e">
        <v>#REF!</v>
      </c>
    </row>
    <row r="1033">
      <c r="B1033" s="659" t="n">
        <v>903382</v>
      </c>
      <c r="C1033" s="661" t="inlineStr">
        <is>
          <t>2047A</t>
        </is>
      </c>
      <c r="D1033" s="661" t="inlineStr">
        <is>
          <t>NHU QUYNH</t>
        </is>
      </c>
      <c r="E1033" s="661" t="inlineStr">
        <is>
          <t>RCT</t>
        </is>
      </c>
      <c r="F1033" s="661" t="inlineStr">
        <is>
          <t>RSC-PN-1045X270X215MM</t>
        </is>
      </c>
      <c r="G1033" s="662" t="inlineStr">
        <is>
          <t>D</t>
        </is>
      </c>
      <c r="L1033" s="663" t="e">
        <v>#REF!</v>
      </c>
    </row>
    <row r="1034">
      <c r="B1034" s="659" t="n">
        <v>903384</v>
      </c>
      <c r="C1034" s="661" t="inlineStr">
        <is>
          <t>2066A</t>
        </is>
      </c>
      <c r="D1034" s="661" t="inlineStr">
        <is>
          <t>CTY SG</t>
        </is>
      </c>
      <c r="E1034" s="661" t="inlineStr">
        <is>
          <t>UEPM</t>
        </is>
      </c>
      <c r="F1034" s="661" t="inlineStr">
        <is>
          <t>EPE FILM 615X300X3MM</t>
        </is>
      </c>
      <c r="G1034" s="662" t="inlineStr">
        <is>
          <t>D</t>
        </is>
      </c>
      <c r="L1034" s="663" t="e">
        <v>#REF!</v>
      </c>
    </row>
    <row r="1035">
      <c r="B1035" s="659" t="n">
        <v>903416</v>
      </c>
      <c r="C1035" s="661" t="inlineStr">
        <is>
          <t>2047A</t>
        </is>
      </c>
      <c r="D1035" s="661" t="inlineStr">
        <is>
          <t>NHU QUYNH</t>
        </is>
      </c>
      <c r="E1035" s="661" t="inlineStr">
        <is>
          <t>RCT</t>
        </is>
      </c>
      <c r="F1035" s="661" t="inlineStr">
        <is>
          <t>TELE-UN-56X30X7inch</t>
        </is>
      </c>
      <c r="G1035" s="662" t="inlineStr">
        <is>
          <t>D</t>
        </is>
      </c>
      <c r="L1035" s="663" t="e">
        <v>#REF!</v>
      </c>
    </row>
    <row r="1036">
      <c r="B1036" s="659" t="n">
        <v>903502</v>
      </c>
      <c r="C1036" s="661" t="inlineStr">
        <is>
          <t>2047A</t>
        </is>
      </c>
      <c r="D1036" s="661" t="inlineStr">
        <is>
          <t>NHU QUYNH</t>
        </is>
      </c>
      <c r="E1036" s="661" t="inlineStr">
        <is>
          <t>RCT</t>
        </is>
      </c>
      <c r="F1036" s="661" t="inlineStr">
        <is>
          <t>TELE-PN-2140X420X155MM</t>
        </is>
      </c>
      <c r="G1036" s="662" t="inlineStr">
        <is>
          <t>D</t>
        </is>
      </c>
      <c r="L1036" s="663" t="e">
        <v>#REF!</v>
      </c>
    </row>
    <row r="1037">
      <c r="B1037" s="659" t="n">
        <v>903503</v>
      </c>
      <c r="C1037" s="661" t="inlineStr">
        <is>
          <t>2047A</t>
        </is>
      </c>
      <c r="D1037" s="661" t="inlineStr">
        <is>
          <t>NHU QUYNH</t>
        </is>
      </c>
      <c r="E1037" s="661" t="inlineStr">
        <is>
          <t>RCT</t>
        </is>
      </c>
      <c r="F1037" s="661" t="inlineStr">
        <is>
          <t>TELE-PN-2135X360X130MM</t>
        </is>
      </c>
      <c r="G1037" s="662" t="inlineStr">
        <is>
          <t>D</t>
        </is>
      </c>
      <c r="L1037" s="663" t="e">
        <v>#REF!</v>
      </c>
    </row>
    <row r="1038">
      <c r="B1038" s="659" t="n">
        <v>903504</v>
      </c>
      <c r="C1038" s="661" t="inlineStr">
        <is>
          <t>2047A</t>
        </is>
      </c>
      <c r="D1038" s="661" t="inlineStr">
        <is>
          <t>NHU QUYNH</t>
        </is>
      </c>
      <c r="E1038" s="661" t="inlineStr">
        <is>
          <t>RCT</t>
        </is>
      </c>
      <c r="F1038" s="661" t="inlineStr">
        <is>
          <t>RSC-PN-2170X555X395MM</t>
        </is>
      </c>
      <c r="G1038" s="662" t="inlineStr">
        <is>
          <t>D</t>
        </is>
      </c>
      <c r="L1038" s="663" t="e">
        <v>#REF!</v>
      </c>
    </row>
    <row r="1039">
      <c r="B1039" s="659" t="n">
        <v>903505</v>
      </c>
      <c r="C1039" s="661" t="inlineStr">
        <is>
          <t>2065A</t>
        </is>
      </c>
      <c r="D1039" s="661" t="inlineStr">
        <is>
          <t>HAN QUOC</t>
        </is>
      </c>
      <c r="E1039" s="661" t="inlineStr">
        <is>
          <t>BAGE</t>
        </is>
      </c>
      <c r="F1039" s="661" t="inlineStr">
        <is>
          <t>BUBBLE BAG 2550X200MM</t>
        </is>
      </c>
      <c r="G1039" s="662" t="inlineStr">
        <is>
          <t>D</t>
        </is>
      </c>
      <c r="L1039" s="663" t="e">
        <v>#REF!</v>
      </c>
    </row>
    <row r="1040">
      <c r="B1040" s="659" t="n">
        <v>903506</v>
      </c>
      <c r="C1040" s="661" t="inlineStr">
        <is>
          <t>2063A</t>
        </is>
      </c>
      <c r="D1040" s="661" t="inlineStr">
        <is>
          <t>YFY</t>
        </is>
      </c>
      <c r="E1040" s="661" t="inlineStr">
        <is>
          <t>PKLN</t>
        </is>
      </c>
      <c r="F1040" s="661" t="inlineStr">
        <is>
          <t>1 WALL CORRU CB 2155X545MM</t>
        </is>
      </c>
      <c r="G1040" s="662" t="inlineStr">
        <is>
          <t>D</t>
        </is>
      </c>
      <c r="L1040" s="663" t="e">
        <v>#REF!</v>
      </c>
    </row>
    <row r="1041">
      <c r="B1041" s="659" t="n">
        <v>903507</v>
      </c>
      <c r="C1041" s="661" t="inlineStr">
        <is>
          <t>2063A</t>
        </is>
      </c>
      <c r="D1041" s="661" t="inlineStr">
        <is>
          <t>YFY</t>
        </is>
      </c>
      <c r="E1041" s="661" t="inlineStr">
        <is>
          <t>PKLN</t>
        </is>
      </c>
      <c r="F1041" s="661" t="inlineStr">
        <is>
          <t>U 1 WALL CORRU CB 2690X365MM</t>
        </is>
      </c>
      <c r="G1041" s="662" t="inlineStr">
        <is>
          <t>D</t>
        </is>
      </c>
      <c r="L1041" s="663" t="e">
        <v>#REF!</v>
      </c>
    </row>
    <row r="1042">
      <c r="B1042" s="659" t="n">
        <v>903508</v>
      </c>
      <c r="C1042" s="661" t="inlineStr">
        <is>
          <t>2047A</t>
        </is>
      </c>
      <c r="D1042" s="661" t="inlineStr">
        <is>
          <t>NHU QUYNH</t>
        </is>
      </c>
      <c r="E1042" s="661" t="inlineStr">
        <is>
          <t>RCT</t>
        </is>
      </c>
      <c r="F1042" s="661" t="inlineStr">
        <is>
          <t>TELE-PN-1555X430X150MM</t>
        </is>
      </c>
      <c r="G1042" s="662" t="inlineStr">
        <is>
          <t>D</t>
        </is>
      </c>
      <c r="L1042" s="663" t="e">
        <v>#REF!</v>
      </c>
    </row>
    <row r="1043">
      <c r="B1043" s="659" t="n">
        <v>903509</v>
      </c>
      <c r="C1043" s="661" t="inlineStr">
        <is>
          <t>2047A</t>
        </is>
      </c>
      <c r="D1043" s="661" t="inlineStr">
        <is>
          <t>NHU QUYNH</t>
        </is>
      </c>
      <c r="E1043" s="661" t="inlineStr">
        <is>
          <t>RCT</t>
        </is>
      </c>
      <c r="F1043" s="661" t="inlineStr">
        <is>
          <t>TELE-PN-1555X360X150MM</t>
        </is>
      </c>
      <c r="G1043" s="662" t="inlineStr">
        <is>
          <t>D</t>
        </is>
      </c>
      <c r="L1043" s="663" t="e">
        <v>#REF!</v>
      </c>
    </row>
    <row r="1044">
      <c r="B1044" s="659" t="n">
        <v>903510</v>
      </c>
      <c r="C1044" s="661" t="inlineStr">
        <is>
          <t>2047A</t>
        </is>
      </c>
      <c r="D1044" s="661" t="inlineStr">
        <is>
          <t>NHU QUYNH</t>
        </is>
      </c>
      <c r="E1044" s="661" t="inlineStr">
        <is>
          <t>RCT</t>
        </is>
      </c>
      <c r="F1044" s="661" t="inlineStr">
        <is>
          <t>RSC-PN-1590X555X385MM</t>
        </is>
      </c>
      <c r="G1044" s="662" t="inlineStr">
        <is>
          <t>D</t>
        </is>
      </c>
      <c r="L1044" s="663" t="e">
        <v>#REF!</v>
      </c>
    </row>
    <row r="1045">
      <c r="B1045" s="659" t="n">
        <v>903512</v>
      </c>
      <c r="C1045" s="661" t="inlineStr">
        <is>
          <t>2063A</t>
        </is>
      </c>
      <c r="D1045" s="661" t="inlineStr">
        <is>
          <t>YFY</t>
        </is>
      </c>
      <c r="E1045" s="661" t="inlineStr">
        <is>
          <t>PKLN</t>
        </is>
      </c>
      <c r="F1045" s="661" t="inlineStr">
        <is>
          <t>1 WALL CORRU CB 1575X545MM</t>
        </is>
      </c>
      <c r="G1045" s="662" t="inlineStr">
        <is>
          <t>D</t>
        </is>
      </c>
      <c r="L1045" s="663" t="e">
        <v>#REF!</v>
      </c>
    </row>
    <row r="1046">
      <c r="B1046" s="659" t="n">
        <v>903513</v>
      </c>
      <c r="C1046" s="661" t="inlineStr">
        <is>
          <t>2063A</t>
        </is>
      </c>
      <c r="D1046" s="661" t="inlineStr">
        <is>
          <t>YFY</t>
        </is>
      </c>
      <c r="E1046" s="661" t="inlineStr">
        <is>
          <t>PKLN</t>
        </is>
      </c>
      <c r="F1046" s="661" t="inlineStr">
        <is>
          <t>U 1 WALL CORRU CB 2110X355MM</t>
        </is>
      </c>
      <c r="G1046" s="662" t="inlineStr">
        <is>
          <t>D</t>
        </is>
      </c>
      <c r="L1046" s="663" t="e">
        <v>#REF!</v>
      </c>
    </row>
    <row r="1047">
      <c r="B1047" s="659" t="n">
        <v>903514</v>
      </c>
      <c r="C1047" s="661" t="inlineStr">
        <is>
          <t>2047A</t>
        </is>
      </c>
      <c r="D1047" s="661" t="inlineStr">
        <is>
          <t>NHU QUYNH</t>
        </is>
      </c>
      <c r="E1047" s="661" t="inlineStr">
        <is>
          <t>RCT</t>
        </is>
      </c>
      <c r="F1047" s="661" t="inlineStr">
        <is>
          <t>TELE-PN-1225X425X130MM</t>
        </is>
      </c>
      <c r="G1047" s="662" t="inlineStr">
        <is>
          <t>D</t>
        </is>
      </c>
      <c r="L1047" s="663" t="e">
        <v>#REF!</v>
      </c>
    </row>
    <row r="1048">
      <c r="B1048" s="659" t="n">
        <v>903515</v>
      </c>
      <c r="C1048" s="661" t="inlineStr">
        <is>
          <t>2047A</t>
        </is>
      </c>
      <c r="D1048" s="661" t="inlineStr">
        <is>
          <t>NHU QUYNH</t>
        </is>
      </c>
      <c r="E1048" s="661" t="inlineStr">
        <is>
          <t>RCT</t>
        </is>
      </c>
      <c r="F1048" s="661" t="inlineStr">
        <is>
          <t>TELE-PN-1225X360X150MM</t>
        </is>
      </c>
      <c r="G1048" s="662" t="inlineStr">
        <is>
          <t>D</t>
        </is>
      </c>
      <c r="L1048" s="663" t="e">
        <v>#REF!</v>
      </c>
    </row>
    <row r="1049">
      <c r="B1049" s="659" t="n">
        <v>903516</v>
      </c>
      <c r="C1049" s="661" t="inlineStr">
        <is>
          <t>2065A</t>
        </is>
      </c>
      <c r="D1049" s="661" t="inlineStr">
        <is>
          <t>HAN QUOC</t>
        </is>
      </c>
      <c r="E1049" s="661" t="inlineStr">
        <is>
          <t>BAGE</t>
        </is>
      </c>
      <c r="F1049" s="661" t="inlineStr">
        <is>
          <t>BUBBLE BAG 1250X150MM</t>
        </is>
      </c>
      <c r="G1049" s="662" t="inlineStr">
        <is>
          <t>D</t>
        </is>
      </c>
      <c r="L1049" s="663" t="e">
        <v>#REF!</v>
      </c>
    </row>
    <row r="1050">
      <c r="B1050" s="659" t="n">
        <v>903518</v>
      </c>
      <c r="C1050" s="661" t="inlineStr">
        <is>
          <t>2063A</t>
        </is>
      </c>
      <c r="D1050" s="661" t="inlineStr">
        <is>
          <t>YFY</t>
        </is>
      </c>
      <c r="E1050" s="661" t="inlineStr">
        <is>
          <t>PKLN</t>
        </is>
      </c>
      <c r="F1050" s="661" t="inlineStr">
        <is>
          <t>1 WALL CORRU CB 1245X545MM</t>
        </is>
      </c>
      <c r="G1050" s="662" t="inlineStr">
        <is>
          <t>D</t>
        </is>
      </c>
      <c r="L1050" s="663" t="e">
        <v>#REF!</v>
      </c>
    </row>
    <row r="1051">
      <c r="B1051" s="659" t="n">
        <v>903520</v>
      </c>
      <c r="C1051" s="661" t="inlineStr">
        <is>
          <t>2047A</t>
        </is>
      </c>
      <c r="D1051" s="661" t="inlineStr">
        <is>
          <t>NHU QUYNH</t>
        </is>
      </c>
      <c r="E1051" s="661" t="inlineStr">
        <is>
          <t>RCT</t>
        </is>
      </c>
      <c r="F1051" s="661" t="inlineStr">
        <is>
          <t>TELE-PN-1190X415X130MM</t>
        </is>
      </c>
      <c r="G1051" s="662" t="inlineStr">
        <is>
          <t>D</t>
        </is>
      </c>
      <c r="L1051" s="663" t="e">
        <v>#REF!</v>
      </c>
    </row>
    <row r="1052">
      <c r="B1052" s="659" t="n">
        <v>903521</v>
      </c>
      <c r="C1052" s="661" t="inlineStr">
        <is>
          <t>2047A</t>
        </is>
      </c>
      <c r="D1052" s="661" t="inlineStr">
        <is>
          <t>NHU QUYNH</t>
        </is>
      </c>
      <c r="E1052" s="661" t="inlineStr">
        <is>
          <t>RCT</t>
        </is>
      </c>
      <c r="F1052" s="661" t="inlineStr">
        <is>
          <t>TELE-PN-900X440X195MM</t>
        </is>
      </c>
      <c r="G1052" s="662" t="inlineStr">
        <is>
          <t>D</t>
        </is>
      </c>
      <c r="L1052" s="663" t="e">
        <v>#REF!</v>
      </c>
    </row>
    <row r="1053">
      <c r="B1053" s="659" t="n">
        <v>903522</v>
      </c>
      <c r="C1053" s="661" t="inlineStr">
        <is>
          <t>2047A</t>
        </is>
      </c>
      <c r="D1053" s="661" t="inlineStr">
        <is>
          <t>NHU QUYNH</t>
        </is>
      </c>
      <c r="E1053" s="661" t="inlineStr">
        <is>
          <t>RCT</t>
        </is>
      </c>
      <c r="F1053" s="661" t="inlineStr">
        <is>
          <t>RSC-PN-750X455X195MM</t>
        </is>
      </c>
      <c r="G1053" s="662" t="inlineStr">
        <is>
          <t>D</t>
        </is>
      </c>
      <c r="L1053" s="663" t="e">
        <v>#REF!</v>
      </c>
    </row>
    <row r="1054">
      <c r="B1054" s="659" t="n">
        <v>903523</v>
      </c>
      <c r="C1054" s="661" t="inlineStr">
        <is>
          <t>2065A</t>
        </is>
      </c>
      <c r="D1054" s="661" t="inlineStr">
        <is>
          <t>HAN QUOC</t>
        </is>
      </c>
      <c r="E1054" s="661" t="inlineStr">
        <is>
          <t>BAGE</t>
        </is>
      </c>
      <c r="F1054" s="661" t="inlineStr">
        <is>
          <t>BUBBLE BAG 1250X200MM</t>
        </is>
      </c>
      <c r="G1054" s="662" t="inlineStr">
        <is>
          <t>D</t>
        </is>
      </c>
      <c r="L1054" s="663" t="e">
        <v>#REF!</v>
      </c>
    </row>
    <row r="1055">
      <c r="B1055" s="659" t="n">
        <v>903528</v>
      </c>
      <c r="C1055" s="661" t="inlineStr">
        <is>
          <t>2047A</t>
        </is>
      </c>
      <c r="D1055" s="661" t="inlineStr">
        <is>
          <t>NHU QUYNH</t>
        </is>
      </c>
      <c r="E1055" s="661" t="inlineStr">
        <is>
          <t>PKLN</t>
        </is>
      </c>
      <c r="F1055" s="661" t="inlineStr">
        <is>
          <t>1 WALL CORRU CB 1035X265MM</t>
        </is>
      </c>
      <c r="G1055" s="662" t="inlineStr">
        <is>
          <t>D</t>
        </is>
      </c>
      <c r="L1055" s="663" t="e">
        <v>#REF!</v>
      </c>
    </row>
    <row r="1056">
      <c r="B1056" s="659" t="n">
        <v>903529</v>
      </c>
      <c r="C1056" s="661" t="inlineStr">
        <is>
          <t>2047A</t>
        </is>
      </c>
      <c r="D1056" s="661" t="inlineStr">
        <is>
          <t>NHU QUYNH</t>
        </is>
      </c>
      <c r="E1056" s="661" t="inlineStr">
        <is>
          <t>PKLN</t>
        </is>
      </c>
      <c r="F1056" s="661" t="inlineStr">
        <is>
          <t>U 1 WALL CORRU CB 1290X270MM</t>
        </is>
      </c>
      <c r="G1056" s="662" t="inlineStr">
        <is>
          <t>D</t>
        </is>
      </c>
      <c r="L1056" s="663" t="e">
        <v>#REF!</v>
      </c>
    </row>
    <row r="1057">
      <c r="B1057" s="659" t="n">
        <v>903530</v>
      </c>
      <c r="C1057" s="661" t="inlineStr">
        <is>
          <t>2047A</t>
        </is>
      </c>
      <c r="D1057" s="661" t="inlineStr">
        <is>
          <t>NHU QUYNH</t>
        </is>
      </c>
      <c r="E1057" s="661" t="inlineStr">
        <is>
          <t>RCT</t>
        </is>
      </c>
      <c r="F1057" s="661" t="inlineStr">
        <is>
          <t>TELE-PN-850X610X240MM</t>
        </is>
      </c>
      <c r="G1057" s="662" t="inlineStr">
        <is>
          <t>D</t>
        </is>
      </c>
      <c r="L1057" s="663" t="e">
        <v>#REF!</v>
      </c>
    </row>
    <row r="1058">
      <c r="B1058" s="659" t="n">
        <v>903532</v>
      </c>
      <c r="C1058" s="661" t="inlineStr">
        <is>
          <t>2047A</t>
        </is>
      </c>
      <c r="D1058" s="661" t="inlineStr">
        <is>
          <t>NHU QUYNH</t>
        </is>
      </c>
      <c r="E1058" s="661" t="inlineStr">
        <is>
          <t>RCT</t>
        </is>
      </c>
      <c r="F1058" s="661" t="inlineStr">
        <is>
          <t>TELE-PN-965X430X165MM</t>
        </is>
      </c>
      <c r="G1058" s="662" t="inlineStr">
        <is>
          <t>D</t>
        </is>
      </c>
      <c r="L1058" s="663" t="e">
        <v>#REF!</v>
      </c>
    </row>
    <row r="1059">
      <c r="B1059" s="659" t="n">
        <v>903533</v>
      </c>
      <c r="C1059" s="661" t="inlineStr">
        <is>
          <t>2047A</t>
        </is>
      </c>
      <c r="D1059" s="661" t="inlineStr">
        <is>
          <t>NHU QUYNH</t>
        </is>
      </c>
      <c r="E1059" s="661" t="inlineStr">
        <is>
          <t>RCT</t>
        </is>
      </c>
      <c r="F1059" s="661" t="inlineStr">
        <is>
          <t>RSC-PN-1260X555X360MM</t>
        </is>
      </c>
      <c r="G1059" s="662" t="inlineStr">
        <is>
          <t>D</t>
        </is>
      </c>
      <c r="L1059" s="663" t="e">
        <v>#REF!</v>
      </c>
    </row>
    <row r="1060">
      <c r="B1060" s="659" t="n">
        <v>903534</v>
      </c>
      <c r="C1060" s="661" t="inlineStr">
        <is>
          <t>2063A</t>
        </is>
      </c>
      <c r="D1060" s="661" t="inlineStr">
        <is>
          <t>YFY</t>
        </is>
      </c>
      <c r="E1060" s="661" t="inlineStr">
        <is>
          <t>PKLN</t>
        </is>
      </c>
      <c r="F1060" s="661" t="inlineStr">
        <is>
          <t>U 1 WALL CORRU CB 1780X330MM</t>
        </is>
      </c>
      <c r="G1060" s="662" t="inlineStr">
        <is>
          <t>D</t>
        </is>
      </c>
      <c r="L1060" s="663" t="e">
        <v>#REF!</v>
      </c>
    </row>
    <row r="1061">
      <c r="B1061" s="659" t="n">
        <v>903535</v>
      </c>
      <c r="C1061" s="661" t="inlineStr">
        <is>
          <t>2047A</t>
        </is>
      </c>
      <c r="D1061" s="661" t="inlineStr">
        <is>
          <t>NHU QUYNH</t>
        </is>
      </c>
      <c r="E1061" s="661" t="inlineStr">
        <is>
          <t>RCT</t>
        </is>
      </c>
      <c r="F1061" s="661" t="inlineStr">
        <is>
          <t>RSC-PN-1045X280X300MM</t>
        </is>
      </c>
      <c r="G1061" s="662" t="inlineStr">
        <is>
          <t>D</t>
        </is>
      </c>
      <c r="L1061" s="663" t="e">
        <v>#REF!</v>
      </c>
    </row>
    <row r="1062">
      <c r="B1062" s="659" t="n">
        <v>903536</v>
      </c>
      <c r="C1062" s="661" t="inlineStr">
        <is>
          <t>2047A</t>
        </is>
      </c>
      <c r="D1062" s="661" t="inlineStr">
        <is>
          <t>NHU QUYNH</t>
        </is>
      </c>
      <c r="E1062" s="661" t="inlineStr">
        <is>
          <t>RCT</t>
        </is>
      </c>
      <c r="F1062" s="661" t="inlineStr">
        <is>
          <t>RSC-PN-495X420X250MM</t>
        </is>
      </c>
      <c r="G1062" s="662" t="inlineStr">
        <is>
          <t>D</t>
        </is>
      </c>
      <c r="L1062" s="663" t="e">
        <v>#REF!</v>
      </c>
    </row>
    <row r="1063">
      <c r="B1063" s="659" t="n">
        <v>903587</v>
      </c>
      <c r="C1063" s="661" t="inlineStr">
        <is>
          <t>2047A</t>
        </is>
      </c>
      <c r="D1063" s="661" t="inlineStr">
        <is>
          <t>NHU QUYNH</t>
        </is>
      </c>
      <c r="E1063" s="661" t="inlineStr">
        <is>
          <t>RCT</t>
        </is>
      </c>
      <c r="F1063" s="661" t="inlineStr">
        <is>
          <t>RSC-PN-1045X305X300MM</t>
        </is>
      </c>
      <c r="G1063" s="662" t="inlineStr">
        <is>
          <t>D</t>
        </is>
      </c>
      <c r="L1063" s="663" t="e">
        <v>#REF!</v>
      </c>
    </row>
    <row r="1064">
      <c r="B1064" s="659" t="n">
        <v>903588</v>
      </c>
      <c r="C1064" s="661" t="inlineStr">
        <is>
          <t>2047A</t>
        </is>
      </c>
      <c r="D1064" s="661" t="inlineStr">
        <is>
          <t>NHU QUYNH</t>
        </is>
      </c>
      <c r="E1064" s="661" t="inlineStr">
        <is>
          <t>PKLN</t>
        </is>
      </c>
      <c r="F1064" s="661" t="inlineStr">
        <is>
          <t>1 WALL CORRU CB 1035X290MM</t>
        </is>
      </c>
      <c r="G1064" s="662" t="inlineStr">
        <is>
          <t>D</t>
        </is>
      </c>
      <c r="L1064" s="663" t="e">
        <v>#REF!</v>
      </c>
    </row>
    <row r="1065">
      <c r="B1065" s="659" t="n">
        <v>903589</v>
      </c>
      <c r="C1065" s="661" t="inlineStr">
        <is>
          <t>2047A</t>
        </is>
      </c>
      <c r="D1065" s="661" t="inlineStr">
        <is>
          <t>NHU QUYNH</t>
        </is>
      </c>
      <c r="E1065" s="661" t="inlineStr">
        <is>
          <t>PKLN</t>
        </is>
      </c>
      <c r="F1065" s="661" t="inlineStr">
        <is>
          <t>U 1 WALL CORRU CB 1315X270MM</t>
        </is>
      </c>
      <c r="G1065" s="662" t="inlineStr">
        <is>
          <t>D</t>
        </is>
      </c>
      <c r="L1065" s="663" t="e">
        <v>#REF!</v>
      </c>
    </row>
    <row r="1066">
      <c r="B1066" s="659" t="n">
        <v>903745</v>
      </c>
      <c r="C1066" s="661" t="inlineStr">
        <is>
          <t>2047A</t>
        </is>
      </c>
      <c r="D1066" s="661" t="inlineStr">
        <is>
          <t>NHU QUYNH</t>
        </is>
      </c>
      <c r="E1066" s="661" t="inlineStr">
        <is>
          <t>RCT</t>
        </is>
      </c>
      <c r="F1066" s="661" t="inlineStr">
        <is>
          <t>RSC-PN-565X500X240MM</t>
        </is>
      </c>
      <c r="G1066" s="662" t="inlineStr">
        <is>
          <t>D</t>
        </is>
      </c>
      <c r="L1066" s="663" t="e">
        <v>#REF!</v>
      </c>
    </row>
    <row r="1067">
      <c r="B1067" s="659" t="n">
        <v>903746</v>
      </c>
      <c r="C1067" s="661" t="inlineStr">
        <is>
          <t>2047A</t>
        </is>
      </c>
      <c r="D1067" s="661" t="inlineStr">
        <is>
          <t>NHU QUYNH</t>
        </is>
      </c>
      <c r="E1067" s="661" t="inlineStr">
        <is>
          <t>RCT</t>
        </is>
      </c>
      <c r="F1067" s="661" t="inlineStr">
        <is>
          <t>RSC-PN-610X460X250MM</t>
        </is>
      </c>
      <c r="G1067" s="662" t="inlineStr">
        <is>
          <t>D</t>
        </is>
      </c>
      <c r="L1067" s="663" t="e">
        <v>#REF!</v>
      </c>
    </row>
    <row r="1068">
      <c r="B1068" s="659" t="n">
        <v>903754</v>
      </c>
      <c r="C1068" s="661" t="inlineStr">
        <is>
          <t>2047A</t>
        </is>
      </c>
      <c r="D1068" s="661" t="inlineStr">
        <is>
          <t>NHU QUYNH</t>
        </is>
      </c>
      <c r="E1068" s="661" t="inlineStr">
        <is>
          <t>RCT</t>
        </is>
      </c>
      <c r="F1068" s="661" t="inlineStr">
        <is>
          <t>RSC-PN-515X460X170MM</t>
        </is>
      </c>
      <c r="G1068" s="662" t="inlineStr">
        <is>
          <t>D</t>
        </is>
      </c>
      <c r="L1068" s="663" t="e">
        <v>#REF!</v>
      </c>
    </row>
    <row r="1069">
      <c r="B1069" s="659" t="n">
        <v>903773</v>
      </c>
      <c r="C1069" s="661" t="inlineStr">
        <is>
          <t>2047A</t>
        </is>
      </c>
      <c r="D1069" s="661" t="inlineStr">
        <is>
          <t>NHU QUYNH</t>
        </is>
      </c>
      <c r="E1069" s="661" t="inlineStr">
        <is>
          <t>RCT</t>
        </is>
      </c>
      <c r="F1069" s="661" t="inlineStr">
        <is>
          <t>TELE-PN-1120X515X215MM</t>
        </is>
      </c>
      <c r="G1069" s="662" t="inlineStr">
        <is>
          <t>D</t>
        </is>
      </c>
      <c r="L1069" s="663" t="e">
        <v>#REF!</v>
      </c>
    </row>
    <row r="1070">
      <c r="B1070" s="659" t="n">
        <v>903776</v>
      </c>
      <c r="C1070" s="661" t="inlineStr">
        <is>
          <t>2047A</t>
        </is>
      </c>
      <c r="D1070" s="661" t="inlineStr">
        <is>
          <t>NHU QUYNH</t>
        </is>
      </c>
      <c r="E1070" s="661" t="inlineStr">
        <is>
          <t>RCT</t>
        </is>
      </c>
      <c r="F1070" s="661" t="inlineStr">
        <is>
          <t>TELE-PN-1030X480X175MM</t>
        </is>
      </c>
      <c r="G1070" s="662" t="inlineStr">
        <is>
          <t>D</t>
        </is>
      </c>
      <c r="L1070" s="663" t="e">
        <v>#REF!</v>
      </c>
    </row>
    <row r="1071">
      <c r="B1071" s="659" t="n">
        <v>903790</v>
      </c>
      <c r="C1071" s="661" t="inlineStr">
        <is>
          <t>2047A</t>
        </is>
      </c>
      <c r="D1071" s="661" t="inlineStr">
        <is>
          <t>NHU QUYNH</t>
        </is>
      </c>
      <c r="E1071" s="661" t="inlineStr">
        <is>
          <t>RCT</t>
        </is>
      </c>
      <c r="F1071" s="661" t="inlineStr">
        <is>
          <t>TELE-PN-1980X530X105MM</t>
        </is>
      </c>
      <c r="G1071" s="662" t="inlineStr">
        <is>
          <t>D</t>
        </is>
      </c>
      <c r="L1071" s="663" t="e">
        <v>#REF!</v>
      </c>
    </row>
    <row r="1072">
      <c r="B1072" s="659" t="n">
        <v>903791</v>
      </c>
      <c r="C1072" s="661" t="inlineStr">
        <is>
          <t>2047A</t>
        </is>
      </c>
      <c r="D1072" s="661" t="inlineStr">
        <is>
          <t>NHU QUYNH</t>
        </is>
      </c>
      <c r="E1072" s="661" t="inlineStr">
        <is>
          <t>RCT</t>
        </is>
      </c>
      <c r="F1072" s="661" t="inlineStr">
        <is>
          <t>TELE-PN-1730X460X135MM</t>
        </is>
      </c>
      <c r="G1072" s="662" t="inlineStr">
        <is>
          <t>D</t>
        </is>
      </c>
      <c r="L1072" s="663" t="e">
        <v>#REF!</v>
      </c>
    </row>
    <row r="1073">
      <c r="B1073" s="659" t="n">
        <v>903792</v>
      </c>
      <c r="C1073" s="661" t="inlineStr">
        <is>
          <t>2047A</t>
        </is>
      </c>
      <c r="D1073" s="661" t="inlineStr">
        <is>
          <t>NHU QUYNH</t>
        </is>
      </c>
      <c r="E1073" s="661" t="inlineStr">
        <is>
          <t>RCT</t>
        </is>
      </c>
      <c r="F1073" s="661" t="inlineStr">
        <is>
          <t>RSC-PN-1140X330X430MM</t>
        </is>
      </c>
      <c r="G1073" s="662" t="inlineStr">
        <is>
          <t>D</t>
        </is>
      </c>
      <c r="L1073" s="663" t="e">
        <v>#REF!</v>
      </c>
    </row>
    <row r="1074">
      <c r="B1074" s="659" t="n">
        <v>903793</v>
      </c>
      <c r="C1074" s="661" t="inlineStr">
        <is>
          <t>2063A</t>
        </is>
      </c>
      <c r="D1074" s="661" t="inlineStr">
        <is>
          <t>YFY</t>
        </is>
      </c>
      <c r="E1074" s="661" t="inlineStr">
        <is>
          <t>PKLN</t>
        </is>
      </c>
      <c r="F1074" s="661" t="inlineStr">
        <is>
          <t>1 WALL CORRU CB 1125X320MM</t>
        </is>
      </c>
      <c r="G1074" s="662" t="inlineStr">
        <is>
          <t>D</t>
        </is>
      </c>
      <c r="L1074" s="663" t="e">
        <v>#REF!</v>
      </c>
    </row>
    <row r="1075">
      <c r="B1075" s="659" t="n">
        <v>903794</v>
      </c>
      <c r="C1075" s="661" t="inlineStr">
        <is>
          <t>2063A</t>
        </is>
      </c>
      <c r="D1075" s="661" t="inlineStr">
        <is>
          <t>YFY</t>
        </is>
      </c>
      <c r="E1075" s="661" t="inlineStr">
        <is>
          <t>PKLN</t>
        </is>
      </c>
      <c r="F1075" s="661" t="inlineStr">
        <is>
          <t>U 1 WALL CORRU CB 1435X400MM</t>
        </is>
      </c>
      <c r="G1075" s="662" t="inlineStr">
        <is>
          <t>D</t>
        </is>
      </c>
      <c r="L1075" s="663" t="e">
        <v>#REF!</v>
      </c>
    </row>
    <row r="1076">
      <c r="B1076" s="659" t="n">
        <v>903800</v>
      </c>
      <c r="C1076" s="661" t="inlineStr">
        <is>
          <t>2047A</t>
        </is>
      </c>
      <c r="D1076" s="661" t="inlineStr">
        <is>
          <t>NHU QUYNH</t>
        </is>
      </c>
      <c r="E1076" s="661" t="inlineStr">
        <is>
          <t>RCT</t>
        </is>
      </c>
      <c r="F1076" s="661" t="inlineStr">
        <is>
          <t>TELE-PN-1190X415X250MM</t>
        </is>
      </c>
      <c r="G1076" s="662" t="inlineStr">
        <is>
          <t>D</t>
        </is>
      </c>
      <c r="L1076" s="663" t="e">
        <v>#REF!</v>
      </c>
    </row>
    <row r="1077">
      <c r="B1077" s="659" t="n">
        <v>903804</v>
      </c>
      <c r="C1077" s="661" t="inlineStr">
        <is>
          <t>2047A</t>
        </is>
      </c>
      <c r="D1077" s="661" t="inlineStr">
        <is>
          <t>NHU QUYNH</t>
        </is>
      </c>
      <c r="E1077" s="661" t="inlineStr">
        <is>
          <t>RCT</t>
        </is>
      </c>
      <c r="F1077" s="661" t="inlineStr">
        <is>
          <t>RSC-PN-1225X425X250MM</t>
        </is>
      </c>
      <c r="G1077" s="662" t="inlineStr">
        <is>
          <t>D</t>
        </is>
      </c>
      <c r="L1077" s="663" t="e">
        <v>#REF!</v>
      </c>
    </row>
    <row r="1078">
      <c r="B1078" s="659" t="n">
        <v>903805</v>
      </c>
      <c r="C1078" s="661" t="inlineStr">
        <is>
          <t>2063A</t>
        </is>
      </c>
      <c r="D1078" s="661" t="inlineStr">
        <is>
          <t>YFY</t>
        </is>
      </c>
      <c r="E1078" s="661" t="inlineStr">
        <is>
          <t>PKLN</t>
        </is>
      </c>
      <c r="F1078" s="661" t="inlineStr">
        <is>
          <t>1 WALL CORRU CB 1210X415MM</t>
        </is>
      </c>
      <c r="G1078" s="662" t="inlineStr">
        <is>
          <t>D</t>
        </is>
      </c>
      <c r="L1078" s="663" t="e">
        <v>#REF!</v>
      </c>
    </row>
    <row r="1079">
      <c r="B1079" s="659" t="n">
        <v>903806</v>
      </c>
      <c r="C1079" s="661" t="inlineStr">
        <is>
          <t>2063A</t>
        </is>
      </c>
      <c r="D1079" s="661" t="inlineStr">
        <is>
          <t>YFY</t>
        </is>
      </c>
      <c r="E1079" s="661" t="inlineStr">
        <is>
          <t>PKLN</t>
        </is>
      </c>
      <c r="F1079" s="661" t="inlineStr">
        <is>
          <t>U 1 WALL CORRU CB 1615X220MM</t>
        </is>
      </c>
      <c r="G1079" s="662" t="inlineStr">
        <is>
          <t>D</t>
        </is>
      </c>
      <c r="L1079" s="663" t="e">
        <v>#REF!</v>
      </c>
    </row>
    <row r="1080">
      <c r="B1080" s="659" t="n">
        <v>903807</v>
      </c>
      <c r="C1080" s="661" t="inlineStr">
        <is>
          <t>2047A</t>
        </is>
      </c>
      <c r="D1080" s="661" t="inlineStr">
        <is>
          <t>NHU QUYNH</t>
        </is>
      </c>
      <c r="E1080" s="661" t="inlineStr">
        <is>
          <t>RCT</t>
        </is>
      </c>
      <c r="F1080" s="661" t="inlineStr">
        <is>
          <t>RSC-PN-1225X360X300</t>
        </is>
      </c>
      <c r="G1080" s="662" t="inlineStr">
        <is>
          <t>D</t>
        </is>
      </c>
      <c r="L1080" s="663" t="e">
        <v>#REF!</v>
      </c>
    </row>
    <row r="1081">
      <c r="B1081" s="659" t="n">
        <v>903808</v>
      </c>
      <c r="C1081" s="661" t="inlineStr">
        <is>
          <t>2063A</t>
        </is>
      </c>
      <c r="D1081" s="661" t="inlineStr">
        <is>
          <t>YFY</t>
        </is>
      </c>
      <c r="E1081" s="661" t="inlineStr">
        <is>
          <t>PKLN</t>
        </is>
      </c>
      <c r="F1081" s="661" t="inlineStr">
        <is>
          <t>1 WALL CORRU CB 1210X350MM</t>
        </is>
      </c>
      <c r="G1081" s="662" t="inlineStr">
        <is>
          <t>D</t>
        </is>
      </c>
      <c r="L1081" s="663" t="e">
        <v>#REF!</v>
      </c>
    </row>
    <row r="1082">
      <c r="B1082" s="659" t="n">
        <v>903809</v>
      </c>
      <c r="C1082" s="661" t="inlineStr">
        <is>
          <t>2063A</t>
        </is>
      </c>
      <c r="D1082" s="661" t="inlineStr">
        <is>
          <t>YFY</t>
        </is>
      </c>
      <c r="E1082" s="661" t="inlineStr">
        <is>
          <t>PKLN</t>
        </is>
      </c>
      <c r="F1082" s="661" t="inlineStr">
        <is>
          <t>U 1 WALL CORRU CB 1550X270MM</t>
        </is>
      </c>
      <c r="G1082" s="662" t="inlineStr">
        <is>
          <t>D</t>
        </is>
      </c>
      <c r="L1082" s="663" t="e">
        <v>#REF!</v>
      </c>
    </row>
    <row r="1083">
      <c r="B1083" s="659" t="n">
        <v>903816</v>
      </c>
      <c r="C1083" s="661" t="inlineStr">
        <is>
          <t>2047A</t>
        </is>
      </c>
      <c r="D1083" s="661" t="inlineStr">
        <is>
          <t>NHU QUYNH</t>
        </is>
      </c>
      <c r="E1083" s="661" t="inlineStr">
        <is>
          <t>RCT</t>
        </is>
      </c>
      <c r="F1083" s="661" t="inlineStr">
        <is>
          <t>RSC-PN-900X440X380MM</t>
        </is>
      </c>
      <c r="G1083" s="662" t="inlineStr">
        <is>
          <t>D</t>
        </is>
      </c>
      <c r="L1083" s="663" t="e">
        <v>#REF!</v>
      </c>
    </row>
    <row r="1084">
      <c r="B1084" s="659" t="n">
        <v>903824</v>
      </c>
      <c r="C1084" s="661" t="inlineStr">
        <is>
          <t>2047A</t>
        </is>
      </c>
      <c r="D1084" s="661" t="inlineStr">
        <is>
          <t>NHU QUYNH</t>
        </is>
      </c>
      <c r="E1084" s="661" t="inlineStr">
        <is>
          <t>RCT</t>
        </is>
      </c>
      <c r="F1084" s="661" t="inlineStr">
        <is>
          <t>RSC-PN-1555X360X300MM</t>
        </is>
      </c>
      <c r="G1084" s="662" t="inlineStr">
        <is>
          <t>D</t>
        </is>
      </c>
      <c r="L1084" s="663" t="e">
        <v>#REF!</v>
      </c>
    </row>
    <row r="1085">
      <c r="B1085" s="659" t="n">
        <v>903825</v>
      </c>
      <c r="C1085" s="661" t="inlineStr">
        <is>
          <t>2047A</t>
        </is>
      </c>
      <c r="D1085" s="661" t="inlineStr">
        <is>
          <t>NHU QUYNH</t>
        </is>
      </c>
      <c r="E1085" s="661" t="inlineStr">
        <is>
          <t>PKLN</t>
        </is>
      </c>
      <c r="F1085" s="661" t="inlineStr">
        <is>
          <t>1 WALL CORRU CB 1540X350MM</t>
        </is>
      </c>
      <c r="G1085" s="662" t="inlineStr">
        <is>
          <t>D</t>
        </is>
      </c>
      <c r="L1085" s="663" t="e">
        <v>#REF!</v>
      </c>
    </row>
    <row r="1086">
      <c r="B1086" s="659" t="n">
        <v>903826</v>
      </c>
      <c r="C1086" s="661" t="inlineStr">
        <is>
          <t>2047A</t>
        </is>
      </c>
      <c r="D1086" s="661" t="inlineStr">
        <is>
          <t>NHU QUYNH</t>
        </is>
      </c>
      <c r="E1086" s="661" t="inlineStr">
        <is>
          <t>PKLN</t>
        </is>
      </c>
      <c r="F1086" s="661" t="inlineStr">
        <is>
          <t>U 1 WALL CORRU CB 1880X270MM</t>
        </is>
      </c>
      <c r="G1086" s="662" t="inlineStr">
        <is>
          <t>D</t>
        </is>
      </c>
      <c r="L1086" s="663" t="e">
        <v>#REF!</v>
      </c>
    </row>
    <row r="1087">
      <c r="B1087" s="659" t="inlineStr">
        <is>
          <t>91502SW</t>
        </is>
      </c>
      <c r="C1087" s="661" t="inlineStr">
        <is>
          <t>2077A</t>
        </is>
      </c>
      <c r="D1087" s="661" t="inlineStr">
        <is>
          <t>T.V.NGHIA</t>
        </is>
      </c>
      <c r="E1087" s="661" t="inlineStr">
        <is>
          <t>FSWW</t>
        </is>
      </c>
      <c r="F1087" s="661" t="inlineStr">
        <is>
          <t>922 LEG SOLID WOOD</t>
        </is>
      </c>
      <c r="G1087" s="662" t="inlineStr">
        <is>
          <t>D</t>
        </is>
      </c>
      <c r="L1087" s="663" t="e">
        <v>#REF!</v>
      </c>
    </row>
    <row r="1088">
      <c r="B1088" s="659" t="inlineStr">
        <is>
          <t>91805SW</t>
        </is>
      </c>
      <c r="C1088" s="661" t="inlineStr">
        <is>
          <t>2077A</t>
        </is>
      </c>
      <c r="D1088" s="661" t="inlineStr">
        <is>
          <t>T.V.NGHIA</t>
        </is>
      </c>
      <c r="E1088" s="661" t="inlineStr">
        <is>
          <t>FSWW</t>
        </is>
      </c>
      <c r="F1088" s="661" t="inlineStr">
        <is>
          <t>191&amp;534 BACK LEG SOLID WOOD</t>
        </is>
      </c>
      <c r="G1088" s="662" t="inlineStr">
        <is>
          <t>D</t>
        </is>
      </c>
      <c r="L1088" s="663" t="e">
        <v>#REF!</v>
      </c>
    </row>
    <row r="1089">
      <c r="B1089" s="659" t="n">
        <v>960001</v>
      </c>
      <c r="C1089" s="661" t="inlineStr">
        <is>
          <t>2047A</t>
        </is>
      </c>
      <c r="D1089" s="661" t="inlineStr">
        <is>
          <t>NHU QUYNH</t>
        </is>
      </c>
      <c r="E1089" s="661" t="inlineStr">
        <is>
          <t>RCT</t>
        </is>
      </c>
      <c r="F1089" s="661" t="inlineStr">
        <is>
          <t>TELE-UN-34.5X26.5X7.5INCH</t>
        </is>
      </c>
      <c r="G1089" s="662" t="inlineStr">
        <is>
          <t>D</t>
        </is>
      </c>
      <c r="L1089" s="663" t="e">
        <v>#REF!</v>
      </c>
    </row>
    <row r="1090">
      <c r="B1090" s="659" t="n">
        <v>960002</v>
      </c>
      <c r="C1090" s="661" t="inlineStr">
        <is>
          <t>2047A</t>
        </is>
      </c>
      <c r="D1090" s="661" t="inlineStr">
        <is>
          <t>NHU QUYNH</t>
        </is>
      </c>
      <c r="E1090" s="661" t="inlineStr">
        <is>
          <t>RCT</t>
        </is>
      </c>
      <c r="F1090" s="661" t="inlineStr">
        <is>
          <t>TELE-UN-27.5X26.5X11INCH</t>
        </is>
      </c>
      <c r="G1090" s="662" t="inlineStr">
        <is>
          <t>D</t>
        </is>
      </c>
      <c r="L1090" s="663" t="e">
        <v>#REF!</v>
      </c>
    </row>
    <row r="1091">
      <c r="B1091" s="659" t="n">
        <v>960003</v>
      </c>
      <c r="C1091" s="661" t="inlineStr">
        <is>
          <t>2047A</t>
        </is>
      </c>
      <c r="D1091" s="661" t="inlineStr">
        <is>
          <t>NHU QUYNH</t>
        </is>
      </c>
      <c r="E1091" s="661" t="inlineStr">
        <is>
          <t>RCT</t>
        </is>
      </c>
      <c r="F1091" s="661" t="inlineStr">
        <is>
          <t>TELE-UN-27.5X26.5X9.5INCH</t>
        </is>
      </c>
      <c r="G1091" s="662" t="inlineStr">
        <is>
          <t>D</t>
        </is>
      </c>
      <c r="L1091" s="663" t="e">
        <v>#REF!</v>
      </c>
    </row>
    <row r="1092">
      <c r="B1092" s="659" t="n">
        <v>960004</v>
      </c>
      <c r="C1092" s="661" t="inlineStr">
        <is>
          <t>2047A</t>
        </is>
      </c>
      <c r="D1092" s="661" t="inlineStr">
        <is>
          <t>NHU QUYNH</t>
        </is>
      </c>
      <c r="E1092" s="661" t="inlineStr">
        <is>
          <t>RCT</t>
        </is>
      </c>
      <c r="F1092" s="661" t="inlineStr">
        <is>
          <t>TELE-UN-35X28.5X12INCH</t>
        </is>
      </c>
      <c r="G1092" s="662" t="inlineStr">
        <is>
          <t>D</t>
        </is>
      </c>
      <c r="L1092" s="663" t="e">
        <v>#REF!</v>
      </c>
    </row>
    <row r="1093">
      <c r="B1093" s="659" t="n">
        <v>960005</v>
      </c>
      <c r="C1093" s="661" t="inlineStr">
        <is>
          <t>2062A</t>
        </is>
      </c>
      <c r="D1093" s="661" t="inlineStr">
        <is>
          <t>TH. PHONG</t>
        </is>
      </c>
      <c r="E1093" s="661" t="inlineStr">
        <is>
          <t>RCT</t>
        </is>
      </c>
      <c r="F1093" s="661" t="inlineStr">
        <is>
          <t>RSC-UN-37X37X18INCH</t>
        </is>
      </c>
      <c r="G1093" s="662" t="inlineStr">
        <is>
          <t>D</t>
        </is>
      </c>
      <c r="L1093" s="663" t="e">
        <v>#REF!</v>
      </c>
    </row>
    <row r="1094">
      <c r="B1094" s="659" t="n">
        <v>960006</v>
      </c>
      <c r="C1094" s="661" t="inlineStr">
        <is>
          <t>2063A</t>
        </is>
      </c>
      <c r="D1094" s="661" t="inlineStr">
        <is>
          <t>YFY</t>
        </is>
      </c>
      <c r="E1094" s="661" t="inlineStr">
        <is>
          <t>PKLN</t>
        </is>
      </c>
      <c r="F1094" s="661" t="inlineStr">
        <is>
          <t>U 2 WALL CORRUGATE 1841X445 UN</t>
        </is>
      </c>
      <c r="G1094" s="662" t="inlineStr">
        <is>
          <t>D</t>
        </is>
      </c>
      <c r="L1094" s="663" t="e">
        <v>#REF!</v>
      </c>
    </row>
    <row r="1095">
      <c r="B1095" s="659" t="n">
        <v>903855</v>
      </c>
      <c r="C1095" s="661" t="inlineStr">
        <is>
          <t>2047A</t>
        </is>
      </c>
      <c r="D1095" s="661" t="inlineStr">
        <is>
          <t>NHU QUYNH</t>
        </is>
      </c>
      <c r="E1095" s="661" t="inlineStr">
        <is>
          <t>RCT</t>
        </is>
      </c>
      <c r="F1095" s="661" t="inlineStr">
        <is>
          <t>Rsc-Pn-440x320x185mm</t>
        </is>
      </c>
      <c r="G1095" s="662" t="inlineStr">
        <is>
          <t>D</t>
        </is>
      </c>
      <c r="L1095" s="663" t="e">
        <v>#REF!</v>
      </c>
    </row>
    <row r="1096">
      <c r="B1096" s="659" t="n">
        <v>901766</v>
      </c>
      <c r="C1096" s="661" t="inlineStr">
        <is>
          <t>2065A</t>
        </is>
      </c>
      <c r="D1096" s="661" t="inlineStr">
        <is>
          <t>HAN QUOC</t>
        </is>
      </c>
      <c r="E1096" s="661" t="inlineStr">
        <is>
          <t>BAGE</t>
        </is>
      </c>
      <c r="F1096" s="661" t="inlineStr">
        <is>
          <t>Bubble Bag 450x150mm</t>
        </is>
      </c>
      <c r="G1096" s="662" t="inlineStr">
        <is>
          <t>D</t>
        </is>
      </c>
      <c r="L1096" s="663" t="e">
        <v>#REF!</v>
      </c>
    </row>
    <row r="1097">
      <c r="B1097" s="659" t="n">
        <v>903856</v>
      </c>
      <c r="C1097" s="661" t="inlineStr">
        <is>
          <t>2047A</t>
        </is>
      </c>
      <c r="D1097" s="661" t="inlineStr">
        <is>
          <t>NHU QUYNH</t>
        </is>
      </c>
      <c r="E1097" s="661" t="inlineStr">
        <is>
          <t>RCT</t>
        </is>
      </c>
      <c r="F1097" s="661" t="inlineStr">
        <is>
          <t>Rsc-Pn-765x360x160mm</t>
        </is>
      </c>
      <c r="G1097" s="662" t="inlineStr">
        <is>
          <t>D</t>
        </is>
      </c>
      <c r="L1097" s="663" t="e">
        <v>#REF!</v>
      </c>
    </row>
    <row r="1098">
      <c r="B1098" s="659" t="n">
        <v>903013</v>
      </c>
      <c r="C1098" s="661" t="inlineStr">
        <is>
          <t>2047A</t>
        </is>
      </c>
      <c r="D1098" s="661" t="inlineStr">
        <is>
          <t>NHU QUYNH</t>
        </is>
      </c>
      <c r="E1098" s="661" t="inlineStr">
        <is>
          <t>RCT</t>
        </is>
      </c>
      <c r="F1098" s="661" t="inlineStr">
        <is>
          <t>RSC-PN-600X400X250MM</t>
        </is>
      </c>
      <c r="G1098" s="662" t="inlineStr">
        <is>
          <t>D</t>
        </is>
      </c>
      <c r="L1098" s="663" t="e">
        <v>#REF!</v>
      </c>
    </row>
    <row r="1099">
      <c r="B1099" s="659" t="n">
        <v>200079</v>
      </c>
      <c r="C1099" s="661" t="inlineStr">
        <is>
          <t>2064A</t>
        </is>
      </c>
      <c r="D1099" s="661" t="inlineStr">
        <is>
          <t>Q.TRUONG</t>
        </is>
      </c>
      <c r="E1099" s="661" t="inlineStr">
        <is>
          <t>HDWR</t>
        </is>
      </c>
      <c r="F1099" s="661" t="inlineStr">
        <is>
          <t>5/16"-18x3"Sq&amp;Ph Hdblt2" Tni</t>
        </is>
      </c>
      <c r="G1099" s="662" t="inlineStr">
        <is>
          <t>D</t>
        </is>
      </c>
      <c r="L1099" s="663" t="e">
        <v>#REF!</v>
      </c>
    </row>
    <row r="1100">
      <c r="B1100" s="659" t="n">
        <v>200130</v>
      </c>
      <c r="C1100" s="661" t="inlineStr">
        <is>
          <t>2064A</t>
        </is>
      </c>
      <c r="D1100" s="661" t="inlineStr">
        <is>
          <t>Q.TRUONG</t>
        </is>
      </c>
      <c r="E1100" s="661" t="inlineStr">
        <is>
          <t>HDWR</t>
        </is>
      </c>
      <c r="F1100" s="661" t="inlineStr">
        <is>
          <t>Hdwe 5/16"Washer</t>
        </is>
      </c>
      <c r="G1100" s="662" t="inlineStr">
        <is>
          <t>D</t>
        </is>
      </c>
      <c r="L1100" s="663" t="e">
        <v>#REF!</v>
      </c>
    </row>
    <row r="1101">
      <c r="B1101" s="659" t="n">
        <v>900174</v>
      </c>
      <c r="C1101" s="661" t="inlineStr">
        <is>
          <t>2036A</t>
        </is>
      </c>
      <c r="D1101" s="661" t="inlineStr">
        <is>
          <t>TIEN THANH</t>
        </is>
      </c>
      <c r="E1101" s="661" t="inlineStr">
        <is>
          <t>BAGE</t>
        </is>
      </c>
      <c r="F1101" s="661" t="inlineStr">
        <is>
          <t>Red Bag For Hardware 3x8inch</t>
        </is>
      </c>
      <c r="G1101" s="662" t="inlineStr">
        <is>
          <t>D</t>
        </is>
      </c>
      <c r="L1101" s="663" t="e">
        <v>#REF!</v>
      </c>
    </row>
    <row r="1102">
      <c r="B1102" s="659" t="n">
        <v>903852</v>
      </c>
      <c r="C1102" s="661" t="inlineStr">
        <is>
          <t>2047A</t>
        </is>
      </c>
      <c r="D1102" s="661" t="inlineStr">
        <is>
          <t>NHU QUYNH</t>
        </is>
      </c>
      <c r="E1102" s="661" t="inlineStr">
        <is>
          <t>RCT</t>
        </is>
      </c>
      <c r="F1102" s="661" t="inlineStr">
        <is>
          <t>Rsc-Pn-480x390x270mm</t>
        </is>
      </c>
      <c r="G1102" s="662" t="inlineStr">
        <is>
          <t>D</t>
        </is>
      </c>
      <c r="L1102" s="663" t="e">
        <v>#REF!</v>
      </c>
    </row>
    <row r="1103">
      <c r="B1103" s="659" t="n">
        <v>903854</v>
      </c>
      <c r="C1103" s="661" t="inlineStr">
        <is>
          <t>2036A</t>
        </is>
      </c>
      <c r="D1103" s="661" t="inlineStr">
        <is>
          <t>TIEN THANH</t>
        </is>
      </c>
      <c r="E1103" s="661" t="inlineStr">
        <is>
          <t>BAGE</t>
        </is>
      </c>
      <c r="F1103" s="661" t="inlineStr">
        <is>
          <t>Pe Bag 400x300mm</t>
        </is>
      </c>
      <c r="G1103" s="662" t="inlineStr">
        <is>
          <t>D</t>
        </is>
      </c>
      <c r="L1103" s="663" t="e">
        <v>#REF!</v>
      </c>
    </row>
    <row r="1104">
      <c r="B1104" s="659" t="inlineStr">
        <is>
          <t>92048SW</t>
        </is>
      </c>
      <c r="C1104" s="661" t="inlineStr">
        <is>
          <t>2077A</t>
        </is>
      </c>
      <c r="D1104" s="661" t="inlineStr">
        <is>
          <t>T.V.NGHIA</t>
        </is>
      </c>
      <c r="E1104" s="661" t="inlineStr">
        <is>
          <t>FSWW</t>
        </is>
      </c>
      <c r="F1104" s="661" t="inlineStr">
        <is>
          <t>594 867 Solid Wood Leg</t>
        </is>
      </c>
      <c r="G1104" s="662" t="inlineStr">
        <is>
          <t>D</t>
        </is>
      </c>
      <c r="L1104" s="663" t="e">
        <v>#REF!</v>
      </c>
    </row>
    <row r="1105">
      <c r="B1105" s="659" t="n">
        <v>900645</v>
      </c>
      <c r="C1105" s="661" t="inlineStr">
        <is>
          <t>2065A</t>
        </is>
      </c>
      <c r="D1105" s="661" t="inlineStr">
        <is>
          <t>HAN QUOC</t>
        </is>
      </c>
      <c r="E1105" s="661" t="inlineStr">
        <is>
          <t>BAGE</t>
        </is>
      </c>
      <c r="F1105" s="661" t="inlineStr">
        <is>
          <t>Bubble Bag 450x250mm</t>
        </is>
      </c>
      <c r="G1105" s="662" t="inlineStr">
        <is>
          <t>D</t>
        </is>
      </c>
      <c r="L1105" s="663" t="e">
        <v>#REF!</v>
      </c>
    </row>
    <row r="1106">
      <c r="B1106" s="659" t="n">
        <v>903857</v>
      </c>
      <c r="C1106" s="661" t="inlineStr">
        <is>
          <t>2047A</t>
        </is>
      </c>
      <c r="D1106" s="661" t="inlineStr">
        <is>
          <t>NHU QUYNH</t>
        </is>
      </c>
      <c r="E1106" s="661" t="inlineStr">
        <is>
          <t>RCT</t>
        </is>
      </c>
      <c r="F1106" s="661" t="inlineStr">
        <is>
          <t>Rsc-Pn-630x270x335mm</t>
        </is>
      </c>
      <c r="G1106" s="662" t="inlineStr">
        <is>
          <t>D</t>
        </is>
      </c>
      <c r="L1106" s="663" t="e">
        <v>#REF!</v>
      </c>
    </row>
    <row r="1107">
      <c r="B1107" s="659" t="inlineStr">
        <is>
          <t>91947SW</t>
        </is>
      </c>
      <c r="C1107" s="661" t="inlineStr">
        <is>
          <t>2077A</t>
        </is>
      </c>
      <c r="D1107" s="661" t="inlineStr">
        <is>
          <t>T.V.NGHIA</t>
        </is>
      </c>
      <c r="E1107" s="661" t="inlineStr">
        <is>
          <t>FSWW</t>
        </is>
      </c>
      <c r="F1107" s="661" t="inlineStr">
        <is>
          <t>279 SOLID WOOD LEG</t>
        </is>
      </c>
      <c r="G1107" s="662" t="inlineStr">
        <is>
          <t>D</t>
        </is>
      </c>
      <c r="L1107" s="663" t="e">
        <v>#REF!</v>
      </c>
    </row>
    <row r="1108">
      <c r="B1108" s="659" t="inlineStr">
        <is>
          <t>92251SW</t>
        </is>
      </c>
      <c r="C1108" s="661" t="inlineStr">
        <is>
          <t>2077A</t>
        </is>
      </c>
      <c r="D1108" s="661" t="inlineStr">
        <is>
          <t>T.V.NGHIA</t>
        </is>
      </c>
      <c r="E1108" s="661" t="inlineStr">
        <is>
          <t>FSWW</t>
        </is>
      </c>
      <c r="F1108" s="661" t="inlineStr">
        <is>
          <t>300 SOLID WOOD LEG</t>
        </is>
      </c>
      <c r="G1108" s="662" t="inlineStr">
        <is>
          <t>D</t>
        </is>
      </c>
      <c r="L1108" s="663" t="e">
        <v>#REF!</v>
      </c>
    </row>
    <row r="1109">
      <c r="B1109" s="659" t="inlineStr">
        <is>
          <t>92379SW</t>
        </is>
      </c>
      <c r="C1109" s="661" t="inlineStr">
        <is>
          <t>2077A</t>
        </is>
      </c>
      <c r="D1109" s="661" t="inlineStr">
        <is>
          <t>T.V.NGHIA</t>
        </is>
      </c>
      <c r="E1109" s="661" t="inlineStr">
        <is>
          <t>FSWW</t>
        </is>
      </c>
      <c r="F1109" s="661" t="inlineStr">
        <is>
          <t>809 LEG Solid Wood</t>
        </is>
      </c>
      <c r="G1109" s="662" t="inlineStr">
        <is>
          <t>D</t>
        </is>
      </c>
      <c r="L1109" s="663" t="e">
        <v>#REF!</v>
      </c>
    </row>
    <row r="1110">
      <c r="B1110" s="659" t="n">
        <v>903936</v>
      </c>
      <c r="C1110" s="661" t="inlineStr">
        <is>
          <t>2047A</t>
        </is>
      </c>
      <c r="D1110" s="661" t="inlineStr">
        <is>
          <t>NHU QUYNH</t>
        </is>
      </c>
      <c r="E1110" s="661" t="inlineStr">
        <is>
          <t>RCT</t>
        </is>
      </c>
      <c r="F1110" s="661" t="inlineStr">
        <is>
          <t>Tele-Pn-2355x785x245mm</t>
        </is>
      </c>
      <c r="G1110" s="662" t="inlineStr">
        <is>
          <t>D</t>
        </is>
      </c>
      <c r="L1110" s="663" t="e">
        <v>#REF!</v>
      </c>
    </row>
    <row r="1111">
      <c r="B1111" s="659" t="n">
        <v>903937</v>
      </c>
      <c r="C1111" s="661" t="inlineStr">
        <is>
          <t>2047A</t>
        </is>
      </c>
      <c r="D1111" s="661" t="inlineStr">
        <is>
          <t>NHU QUYNH</t>
        </is>
      </c>
      <c r="E1111" s="661" t="inlineStr">
        <is>
          <t>RCT</t>
        </is>
      </c>
      <c r="F1111" s="661" t="inlineStr">
        <is>
          <t>Rsc-Pn-1010x410x185mm</t>
        </is>
      </c>
      <c r="G1111" s="662" t="inlineStr">
        <is>
          <t>D</t>
        </is>
      </c>
      <c r="L1111" s="663" t="e">
        <v>#REF!</v>
      </c>
    </row>
    <row r="1112">
      <c r="B1112" s="659" t="n">
        <v>903938</v>
      </c>
      <c r="C1112" s="661" t="inlineStr">
        <is>
          <t>2047A</t>
        </is>
      </c>
      <c r="D1112" s="661" t="inlineStr">
        <is>
          <t>NHU QUYNH</t>
        </is>
      </c>
      <c r="E1112" s="661" t="inlineStr">
        <is>
          <t>RCT</t>
        </is>
      </c>
      <c r="F1112" s="661" t="inlineStr">
        <is>
          <t>Tele-Pn-1695x905x163mm</t>
        </is>
      </c>
      <c r="G1112" s="662" t="inlineStr">
        <is>
          <t>D</t>
        </is>
      </c>
      <c r="L1112" s="663" t="e">
        <v>#REF!</v>
      </c>
    </row>
    <row r="1113">
      <c r="B1113" s="659" t="n">
        <v>903939</v>
      </c>
      <c r="C1113" s="661" t="inlineStr">
        <is>
          <t>2047A</t>
        </is>
      </c>
      <c r="D1113" s="661" t="inlineStr">
        <is>
          <t>NHU QUYNH</t>
        </is>
      </c>
      <c r="E1113" s="661" t="inlineStr">
        <is>
          <t>RCT</t>
        </is>
      </c>
      <c r="F1113" s="661" t="inlineStr">
        <is>
          <t>Tele-Pn-1345x905x163mm</t>
        </is>
      </c>
      <c r="G1113" s="662" t="inlineStr">
        <is>
          <t>D</t>
        </is>
      </c>
      <c r="L1113" s="663" t="e">
        <v>#REF!</v>
      </c>
    </row>
    <row r="1114">
      <c r="B1114" s="659" t="n">
        <v>903940</v>
      </c>
      <c r="C1114" s="661" t="inlineStr">
        <is>
          <t>2047A</t>
        </is>
      </c>
      <c r="D1114" s="661" t="inlineStr">
        <is>
          <t>NHU QUYNH</t>
        </is>
      </c>
      <c r="E1114" s="661" t="inlineStr">
        <is>
          <t>RCT</t>
        </is>
      </c>
      <c r="F1114" s="661" t="inlineStr">
        <is>
          <t>Rsc-Pn-760x640x415mm</t>
        </is>
      </c>
      <c r="G1114" s="662" t="inlineStr">
        <is>
          <t>D</t>
        </is>
      </c>
      <c r="L1114" s="663" t="e">
        <v>#REF!</v>
      </c>
    </row>
    <row r="1115">
      <c r="B1115" s="659" t="n">
        <v>903941</v>
      </c>
      <c r="C1115" s="661" t="inlineStr">
        <is>
          <t>2047A</t>
        </is>
      </c>
      <c r="D1115" s="661" t="inlineStr">
        <is>
          <t>NHU QUYNH</t>
        </is>
      </c>
      <c r="E1115" s="661" t="inlineStr">
        <is>
          <t>RCT</t>
        </is>
      </c>
      <c r="F1115" s="661" t="inlineStr">
        <is>
          <t>Rsc-Pn-740x640x400mm</t>
        </is>
      </c>
      <c r="G1115" s="662" t="inlineStr">
        <is>
          <t>D</t>
        </is>
      </c>
      <c r="L1115" s="663" t="e">
        <v>#REF!</v>
      </c>
    </row>
    <row r="1116">
      <c r="B1116" s="659" t="n">
        <v>903942</v>
      </c>
      <c r="C1116" s="661" t="inlineStr">
        <is>
          <t>2047A</t>
        </is>
      </c>
      <c r="D1116" s="661" t="inlineStr">
        <is>
          <t>NHU QUYNH</t>
        </is>
      </c>
      <c r="E1116" s="661" t="inlineStr">
        <is>
          <t>RCT</t>
        </is>
      </c>
      <c r="F1116" s="661" t="inlineStr">
        <is>
          <t>Rsc-Pn-880x380x360mm</t>
        </is>
      </c>
      <c r="G1116" s="662" t="inlineStr">
        <is>
          <t>D</t>
        </is>
      </c>
      <c r="L1116" s="663" t="e">
        <v>#REF!</v>
      </c>
    </row>
    <row r="1117">
      <c r="B1117" s="659" t="n">
        <v>903943</v>
      </c>
      <c r="C1117" s="661" t="inlineStr">
        <is>
          <t>2065A</t>
        </is>
      </c>
      <c r="D1117" s="661" t="inlineStr">
        <is>
          <t>HAN QUOC</t>
        </is>
      </c>
      <c r="E1117" s="661" t="inlineStr">
        <is>
          <t>BAGE</t>
        </is>
      </c>
      <c r="F1117" s="661" t="inlineStr">
        <is>
          <t>Bubble Bag 400x360mm</t>
        </is>
      </c>
      <c r="G1117" s="662" t="inlineStr">
        <is>
          <t>D</t>
        </is>
      </c>
      <c r="L1117" s="663" t="e">
        <v>#REF!</v>
      </c>
    </row>
    <row r="1118">
      <c r="B1118" s="659" t="n">
        <v>900528</v>
      </c>
      <c r="C1118" s="661" t="inlineStr">
        <is>
          <t>2065A</t>
        </is>
      </c>
      <c r="D1118" s="661" t="inlineStr">
        <is>
          <t>HAN QUOC</t>
        </is>
      </c>
      <c r="E1118" s="661" t="inlineStr">
        <is>
          <t>BAGE</t>
        </is>
      </c>
      <c r="F1118" s="661" t="inlineStr">
        <is>
          <t>Bubble Bag 2500x250mm</t>
        </is>
      </c>
      <c r="G1118" s="662" t="inlineStr">
        <is>
          <t>D</t>
        </is>
      </c>
      <c r="L1118" s="663" t="e">
        <v>#REF!</v>
      </c>
    </row>
    <row r="1119">
      <c r="B1119" s="659" t="n">
        <v>900147</v>
      </c>
      <c r="C1119" s="661" t="inlineStr">
        <is>
          <t>2065A</t>
        </is>
      </c>
      <c r="D1119" s="661" t="inlineStr">
        <is>
          <t>HAN QUOC</t>
        </is>
      </c>
      <c r="E1119" s="661" t="inlineStr">
        <is>
          <t>BAGE</t>
        </is>
      </c>
      <c r="F1119" s="661" t="inlineStr">
        <is>
          <t>Bubble Bag 1850x250mm</t>
        </is>
      </c>
      <c r="G1119" s="662" t="inlineStr">
        <is>
          <t>D</t>
        </is>
      </c>
      <c r="L1119" s="663" t="e">
        <v>#REF!</v>
      </c>
    </row>
    <row r="1120">
      <c r="B1120" s="659" t="n">
        <v>900162</v>
      </c>
      <c r="C1120" s="661" t="inlineStr">
        <is>
          <t>2065A</t>
        </is>
      </c>
      <c r="D1120" s="661" t="inlineStr">
        <is>
          <t>HAN QUOC</t>
        </is>
      </c>
      <c r="E1120" s="661" t="inlineStr">
        <is>
          <t>BAGE</t>
        </is>
      </c>
      <c r="F1120" s="661" t="inlineStr">
        <is>
          <t>Bubble Bag 1350x250mm</t>
        </is>
      </c>
      <c r="G1120" s="662" t="inlineStr">
        <is>
          <t>D</t>
        </is>
      </c>
      <c r="L1120" s="663" t="e">
        <v>#REF!</v>
      </c>
    </row>
    <row r="1121">
      <c r="B1121" s="659" t="n">
        <v>900111</v>
      </c>
      <c r="C1121" s="661" t="inlineStr">
        <is>
          <t>2065A</t>
        </is>
      </c>
      <c r="D1121" s="661" t="inlineStr">
        <is>
          <t>HAN QUOC</t>
        </is>
      </c>
      <c r="E1121" s="661" t="inlineStr">
        <is>
          <t>BAGE</t>
        </is>
      </c>
      <c r="F1121" s="661" t="inlineStr">
        <is>
          <t>Bubble Bag 850x250mm</t>
        </is>
      </c>
      <c r="G1121" s="662" t="inlineStr">
        <is>
          <t>D</t>
        </is>
      </c>
      <c r="L1121" s="663" t="e">
        <v>#REF!</v>
      </c>
    </row>
    <row r="1122">
      <c r="B1122" s="659" t="n">
        <v>903695</v>
      </c>
      <c r="C1122" s="661" t="inlineStr">
        <is>
          <t>2065A</t>
        </is>
      </c>
      <c r="D1122" s="661" t="inlineStr">
        <is>
          <t>HAN QUOC</t>
        </is>
      </c>
      <c r="E1122" s="661" t="inlineStr">
        <is>
          <t>BAGE</t>
        </is>
      </c>
      <c r="F1122" s="661" t="inlineStr">
        <is>
          <t>Bubble bag 925x150mm</t>
        </is>
      </c>
      <c r="G1122" s="662" t="inlineStr">
        <is>
          <t>D</t>
        </is>
      </c>
      <c r="L1122" s="663" t="e">
        <v>#REF!</v>
      </c>
    </row>
    <row r="1123">
      <c r="B1123" s="659" t="inlineStr">
        <is>
          <t>92503SW</t>
        </is>
      </c>
      <c r="C1123" s="661" t="inlineStr">
        <is>
          <t>2077A</t>
        </is>
      </c>
      <c r="D1123" s="661" t="inlineStr">
        <is>
          <t>T.V.NGHIA</t>
        </is>
      </c>
      <c r="E1123" s="661" t="inlineStr">
        <is>
          <t>FSWW</t>
        </is>
      </c>
      <c r="F1123" s="661" t="inlineStr">
        <is>
          <t>313 Solid Leg</t>
        </is>
      </c>
      <c r="G1123" s="662" t="inlineStr">
        <is>
          <t>D</t>
        </is>
      </c>
      <c r="L1123" s="663" t="e">
        <v>#REF!</v>
      </c>
    </row>
    <row r="1124">
      <c r="B1124" s="659" t="n">
        <v>901963</v>
      </c>
      <c r="C1124" s="661" t="inlineStr">
        <is>
          <t>2065A</t>
        </is>
      </c>
      <c r="D1124" s="661" t="inlineStr">
        <is>
          <t>HAN QUOC</t>
        </is>
      </c>
      <c r="E1124" s="661" t="inlineStr">
        <is>
          <t>BAGE</t>
        </is>
      </c>
      <c r="F1124" s="661" t="inlineStr">
        <is>
          <t>BUBBLE BAG 350X350MM</t>
        </is>
      </c>
      <c r="G1124" s="662" t="inlineStr">
        <is>
          <t>D</t>
        </is>
      </c>
      <c r="L1124" s="663" t="e">
        <v>#REF!</v>
      </c>
    </row>
    <row r="1125">
      <c r="B1125" s="659" t="n">
        <v>900669</v>
      </c>
      <c r="C1125" s="661" t="inlineStr">
        <is>
          <t>2036A</t>
        </is>
      </c>
      <c r="D1125" s="661" t="inlineStr">
        <is>
          <t>TIEN THANH</t>
        </is>
      </c>
      <c r="E1125" s="661" t="inlineStr">
        <is>
          <t>BAGE</t>
        </is>
      </c>
      <c r="F1125" s="661" t="inlineStr">
        <is>
          <t>PE BAG 700X400MM</t>
        </is>
      </c>
      <c r="G1125" s="662" t="inlineStr">
        <is>
          <t>D</t>
        </is>
      </c>
      <c r="L1125" s="663" t="e">
        <v>#REF!</v>
      </c>
    </row>
    <row r="1126">
      <c r="B1126" s="659" t="n">
        <v>903951</v>
      </c>
      <c r="C1126" s="661" t="inlineStr">
        <is>
          <t>2047A</t>
        </is>
      </c>
      <c r="D1126" s="661" t="inlineStr">
        <is>
          <t>NHU QUYNH</t>
        </is>
      </c>
      <c r="E1126" s="661" t="inlineStr">
        <is>
          <t>RCT</t>
        </is>
      </c>
      <c r="F1126" s="661" t="inlineStr">
        <is>
          <t>Rsc-Pn-1340x540x265mm</t>
        </is>
      </c>
      <c r="G1126" s="662" t="inlineStr">
        <is>
          <t>D</t>
        </is>
      </c>
      <c r="L1126" s="663" t="e">
        <v>#REF!</v>
      </c>
    </row>
    <row r="1127">
      <c r="B1127" s="659" t="n">
        <v>903950</v>
      </c>
      <c r="C1127" s="661" t="inlineStr">
        <is>
          <t>2047A</t>
        </is>
      </c>
      <c r="D1127" s="661" t="inlineStr">
        <is>
          <t>NHU QUYNH</t>
        </is>
      </c>
      <c r="E1127" s="661" t="inlineStr">
        <is>
          <t>RCT</t>
        </is>
      </c>
      <c r="F1127" s="661" t="inlineStr">
        <is>
          <t>Rsc-Pn-425x360x285mm</t>
        </is>
      </c>
      <c r="G1127" s="662" t="inlineStr">
        <is>
          <t>D</t>
        </is>
      </c>
      <c r="L1127" s="663" t="e">
        <v>#REF!</v>
      </c>
    </row>
    <row r="1128">
      <c r="B1128" s="659" t="n">
        <v>903026</v>
      </c>
      <c r="C1128" s="661" t="inlineStr">
        <is>
          <t>2036A</t>
        </is>
      </c>
      <c r="D1128" s="661" t="inlineStr">
        <is>
          <t>TIEN THANH</t>
        </is>
      </c>
      <c r="E1128" s="661" t="inlineStr">
        <is>
          <t>BAGE</t>
        </is>
      </c>
      <c r="F1128" s="661" t="inlineStr">
        <is>
          <t>PE BAG 400X220X0.06MM</t>
        </is>
      </c>
      <c r="G1128" s="662" t="inlineStr">
        <is>
          <t>D</t>
        </is>
      </c>
      <c r="L1128" s="663" t="e">
        <v>#REF!</v>
      </c>
    </row>
    <row r="1129">
      <c r="B1129" s="659" t="n">
        <v>903949</v>
      </c>
      <c r="C1129" s="661" t="inlineStr">
        <is>
          <t>2047A</t>
        </is>
      </c>
      <c r="D1129" s="661" t="inlineStr">
        <is>
          <t>NHU QUYNH</t>
        </is>
      </c>
      <c r="E1129" s="661" t="inlineStr">
        <is>
          <t>RCT</t>
        </is>
      </c>
      <c r="F1129" s="661" t="inlineStr">
        <is>
          <t>Rsc-Pn-1175x300x245mm</t>
        </is>
      </c>
      <c r="G1129" s="662" t="inlineStr">
        <is>
          <t>D</t>
        </is>
      </c>
      <c r="L1129" s="663" t="e">
        <v>#REF!</v>
      </c>
    </row>
    <row r="1130">
      <c r="B1130" s="659" t="n">
        <v>909999</v>
      </c>
      <c r="C1130" s="661" t="inlineStr">
        <is>
          <t>3A</t>
        </is>
      </c>
      <c r="D1130" s="661" t="inlineStr">
        <is>
          <t>Wanvog</t>
        </is>
      </c>
      <c r="E1130" s="661" t="inlineStr">
        <is>
          <t>MISN</t>
        </is>
      </c>
      <c r="F1130" s="661" t="inlineStr">
        <is>
          <t>Skid Pad Diameter 38mm</t>
        </is>
      </c>
      <c r="G1130" s="662" t="inlineStr">
        <is>
          <t>I</t>
        </is>
      </c>
      <c r="H1130" s="664" t="n">
        <v>1086</v>
      </c>
      <c r="I1130" s="665" t="n">
        <v>0.0482</v>
      </c>
      <c r="J1130" s="666" t="inlineStr">
        <is>
          <t>EA</t>
        </is>
      </c>
      <c r="L1130" s="663" t="e">
        <v>#REF!</v>
      </c>
    </row>
    <row r="1131">
      <c r="B1131" s="678" t="n">
        <v>111272</v>
      </c>
      <c r="D1131" s="661" t="inlineStr">
        <is>
          <t>ZHONGWANG</t>
        </is>
      </c>
      <c r="F1131" s="675" t="inlineStr">
        <is>
          <t xml:space="preserve">F GECKO BROWNIE 10800 </t>
        </is>
      </c>
      <c r="G1131" s="662" t="inlineStr">
        <is>
          <t>I</t>
        </is>
      </c>
      <c r="H1131" s="664" t="n">
        <v>1002</v>
      </c>
      <c r="I1131" s="665" t="n">
        <v>9.01</v>
      </c>
      <c r="L1131" s="663" t="e">
        <v>#REF!</v>
      </c>
    </row>
    <row r="1132">
      <c r="B1132" s="679" t="n">
        <v>111082</v>
      </c>
      <c r="F1132" s="680" t="inlineStr">
        <is>
          <t>F MARDI GRASGRAPHITE73103</t>
        </is>
      </c>
      <c r="G1132" s="662" t="inlineStr">
        <is>
          <t>I</t>
        </is>
      </c>
      <c r="H1132" s="664" t="n">
        <v>1002</v>
      </c>
      <c r="I1132" s="665" t="n">
        <v>4.7</v>
      </c>
      <c r="L1132" s="663" t="e">
        <v>#REF!</v>
      </c>
    </row>
    <row r="1133">
      <c r="B1133" s="679" t="n">
        <v>111280</v>
      </c>
      <c r="F1133" s="680" t="inlineStr">
        <is>
          <t>F MARAH(KZW1527)CARAMEL 15501</t>
        </is>
      </c>
      <c r="G1133" s="662" t="inlineStr">
        <is>
          <t>I</t>
        </is>
      </c>
      <c r="H1133" s="664" t="n">
        <v>1002</v>
      </c>
      <c r="I1133" s="665" t="n">
        <v>2.52</v>
      </c>
      <c r="L1133" s="663" t="e">
        <v>#REF!</v>
      </c>
    </row>
    <row r="1134">
      <c r="B1134" s="679" t="n">
        <v>111279</v>
      </c>
      <c r="F1134" s="680" t="inlineStr">
        <is>
          <t>F LAILA(KZW1527)ESPRESSO 19001</t>
        </is>
      </c>
      <c r="G1134" s="662" t="inlineStr">
        <is>
          <t>I</t>
        </is>
      </c>
      <c r="H1134" s="664" t="n">
        <v>1002</v>
      </c>
      <c r="I1134" s="665" t="n">
        <v>2.64</v>
      </c>
      <c r="L1134" s="663" t="e">
        <v>#REF!</v>
      </c>
    </row>
    <row r="1135">
      <c r="B1135" s="679" t="n">
        <v>111282</v>
      </c>
      <c r="F1135" s="680" t="inlineStr">
        <is>
          <t>F ZOOMEGGPLANT 13301</t>
        </is>
      </c>
      <c r="G1135" s="662" t="inlineStr">
        <is>
          <t>I</t>
        </is>
      </c>
      <c r="H1135" s="664" t="n">
        <v>1002</v>
      </c>
      <c r="I1135" s="665" t="n">
        <v>4.51</v>
      </c>
      <c r="L1135" s="663" t="e">
        <v>#REF!</v>
      </c>
    </row>
    <row r="1136">
      <c r="B1136" s="679" t="n">
        <v>111357</v>
      </c>
      <c r="F1136" s="680" t="inlineStr">
        <is>
          <t>F TAYU SADDLE 11700</t>
        </is>
      </c>
      <c r="G1136" s="662" t="inlineStr">
        <is>
          <t>I</t>
        </is>
      </c>
      <c r="H1136" s="664" t="n">
        <v>1092</v>
      </c>
      <c r="I1136" s="665" t="n">
        <v>11.75</v>
      </c>
      <c r="L1136" s="663" t="e">
        <v>#REF!</v>
      </c>
    </row>
    <row r="1137">
      <c r="B1137" s="679" t="n">
        <v>111358</v>
      </c>
      <c r="F1137" s="680" t="inlineStr">
        <is>
          <t>F CRESTMONT CANYON 11700</t>
        </is>
      </c>
      <c r="G1137" s="662" t="inlineStr">
        <is>
          <t>I</t>
        </is>
      </c>
      <c r="H1137" s="664" t="n">
        <v>1079</v>
      </c>
      <c r="I1137" s="665" t="n">
        <v>5.3</v>
      </c>
      <c r="L1137" s="663" t="e">
        <v>#REF!</v>
      </c>
    </row>
    <row r="1138">
      <c r="B1138" s="679" t="n">
        <v>111379</v>
      </c>
      <c r="F1138" s="680" t="inlineStr">
        <is>
          <t>F MIA(K1109A) PAPRIKA(2)17300</t>
        </is>
      </c>
      <c r="G1138" s="662" t="inlineStr">
        <is>
          <t>I</t>
        </is>
      </c>
      <c r="H1138" s="664" t="n">
        <v>1002</v>
      </c>
      <c r="I1138" s="665" t="n">
        <v>5.17</v>
      </c>
      <c r="L1138" s="663" t="e">
        <v>#REF!</v>
      </c>
    </row>
    <row r="1139">
      <c r="B1139" s="679" t="n">
        <v>111079</v>
      </c>
      <c r="F1139" s="680" t="inlineStr">
        <is>
          <t>F LAKENCEDAR70704</t>
        </is>
      </c>
      <c r="G1139" s="662" t="n"/>
      <c r="H1139" s="664" t="n">
        <v>1002</v>
      </c>
      <c r="I1139" s="665" t="n">
        <v>2.52</v>
      </c>
      <c r="L1139" s="663" t="e">
        <v>#REF!</v>
      </c>
    </row>
    <row r="1140">
      <c r="B1140" s="679" t="n">
        <v>180209</v>
      </c>
      <c r="F1140" s="680" t="inlineStr">
        <is>
          <t>V MURIELDURABLENDESPRESSO15303</t>
        </is>
      </c>
      <c r="G1140" s="662" t="n"/>
      <c r="H1140" s="664" t="n">
        <v>1035</v>
      </c>
      <c r="I1140" s="665" t="n">
        <v>3.97</v>
      </c>
      <c r="L1140" s="663" t="e">
        <v>#REF!</v>
      </c>
    </row>
    <row r="1141">
      <c r="B1141" s="679" t="n">
        <v>180210</v>
      </c>
      <c r="F1141" s="680" t="inlineStr">
        <is>
          <t>V PUESPRESSO 15303</t>
        </is>
      </c>
      <c r="G1141" s="662" t="n"/>
      <c r="H1141" s="664" t="n">
        <v>1035</v>
      </c>
      <c r="I1141" s="665" t="n">
        <v>2.7</v>
      </c>
      <c r="L1141" s="663" t="e">
        <v>#REF!</v>
      </c>
    </row>
    <row r="1142">
      <c r="B1142" s="679" t="n">
        <v>111422</v>
      </c>
      <c r="F1142" s="680" t="inlineStr">
        <is>
          <t>F BLAGDEN  MUSHROOM 80701</t>
        </is>
      </c>
      <c r="G1142" s="662" t="n"/>
      <c r="H1142" s="664" t="n">
        <v>1002</v>
      </c>
      <c r="I1142" s="665" t="n">
        <v>4.3</v>
      </c>
      <c r="L1142" s="663" t="e">
        <v>#REF!</v>
      </c>
    </row>
    <row r="1143">
      <c r="B1143" s="679" t="n">
        <v>110794</v>
      </c>
      <c r="F1143" s="680" t="inlineStr">
        <is>
          <t>F COOPER COCOA(BJ#14) 89601</t>
        </is>
      </c>
      <c r="G1143" s="662" t="n"/>
      <c r="H1143" s="664" t="n">
        <v>1002</v>
      </c>
      <c r="I1143" s="665" t="n">
        <v>3.04</v>
      </c>
      <c r="L1143" s="663" t="e">
        <v>#REF!</v>
      </c>
    </row>
    <row r="1144">
      <c r="B1144" s="679" t="n">
        <v>110752</v>
      </c>
      <c r="F1144" s="680" t="inlineStr">
        <is>
          <t>F UNIVERSEMERLOT 30900</t>
        </is>
      </c>
      <c r="G1144" s="662" t="n"/>
      <c r="H1144" s="664" t="n">
        <v>1077</v>
      </c>
      <c r="I1144" s="665" t="n">
        <v>8.210000000000001</v>
      </c>
      <c r="L1144" s="663" t="e">
        <v>#REF!</v>
      </c>
    </row>
    <row r="1145">
      <c r="B1145" s="679" t="n">
        <v>111339</v>
      </c>
      <c r="F1145" s="680" t="inlineStr">
        <is>
          <t xml:space="preserve">F SERENA RASPBERRY </t>
        </is>
      </c>
      <c r="G1145" s="662" t="n"/>
      <c r="H1145" s="664" t="n">
        <v>1002</v>
      </c>
      <c r="I1145" s="665" t="n">
        <v>2.62</v>
      </c>
      <c r="L1145" s="663" t="e">
        <v>#REF!</v>
      </c>
    </row>
    <row r="1146">
      <c r="B1146" s="679" t="n">
        <v>111370</v>
      </c>
      <c r="F1146" s="680" t="inlineStr">
        <is>
          <t>F ZADEE(XC285A)CHOCOLATE17600</t>
        </is>
      </c>
      <c r="G1146" s="662" t="n"/>
      <c r="H1146" s="664" t="n">
        <v>1002</v>
      </c>
      <c r="I1146" s="665" t="n">
        <v>2.288</v>
      </c>
      <c r="L1146" s="663" t="e">
        <v>#REF!</v>
      </c>
    </row>
    <row r="1147">
      <c r="B1147" s="679" t="n">
        <v>111371</v>
      </c>
      <c r="F1147" s="680" t="inlineStr">
        <is>
          <t>F ZADEE(XC285A)SAGE17601</t>
        </is>
      </c>
      <c r="G1147" s="662" t="n"/>
      <c r="H1147" s="664" t="n">
        <v>1002</v>
      </c>
      <c r="I1147" s="665" t="n">
        <v>2.288</v>
      </c>
      <c r="L1147" s="663" t="e">
        <v>#REF!</v>
      </c>
    </row>
    <row r="1148">
      <c r="B1148" s="679" t="n">
        <v>180103</v>
      </c>
      <c r="F1148" s="680" t="inlineStr">
        <is>
          <t>V DURABLENDECLIPSE87401</t>
        </is>
      </c>
      <c r="G1148" s="662" t="n"/>
      <c r="H1148" s="664" t="n">
        <v>1035</v>
      </c>
      <c r="I1148" s="665" t="n">
        <v>4.79</v>
      </c>
      <c r="L1148" s="663" t="e">
        <v>#REF!</v>
      </c>
    </row>
    <row r="1149">
      <c r="B1149" s="679" t="n">
        <v>180186</v>
      </c>
      <c r="F1149" s="680" t="inlineStr">
        <is>
          <t xml:space="preserve">V KNOX VINYLCOFFEE 13200 </t>
        </is>
      </c>
      <c r="G1149" s="662" t="n"/>
      <c r="H1149" s="664" t="n">
        <v>1035</v>
      </c>
      <c r="I1149" s="665" t="n">
        <v>3.17</v>
      </c>
      <c r="L1149" s="663" t="e">
        <v>#REF!</v>
      </c>
    </row>
    <row r="1150">
      <c r="B1150" s="679" t="n">
        <v>180104</v>
      </c>
      <c r="F1150" s="680" t="inlineStr">
        <is>
          <t xml:space="preserve">V VINYLECLIPSE87401 </t>
        </is>
      </c>
      <c r="G1150" s="662" t="n"/>
      <c r="H1150" s="664" t="n">
        <v>1035</v>
      </c>
      <c r="I1150" s="665" t="n">
        <v>3.52</v>
      </c>
      <c r="L1150" s="663" t="e">
        <v>#REF!</v>
      </c>
    </row>
    <row r="1151">
      <c r="B1151" s="679" t="n">
        <v>111335</v>
      </c>
      <c r="F1151" s="680" t="inlineStr">
        <is>
          <t xml:space="preserve"> F HYLA SCARLET 75503</t>
        </is>
      </c>
      <c r="G1151" s="662" t="n"/>
      <c r="L1151" s="663" t="e">
        <v>#REF!</v>
      </c>
    </row>
    <row r="1152">
      <c r="B1152" s="679" t="n">
        <v>111337</v>
      </c>
      <c r="F1152" s="680" t="inlineStr">
        <is>
          <t xml:space="preserve"> F LUCINDA QUARTZ </t>
        </is>
      </c>
      <c r="G1152" s="662" t="n"/>
      <c r="H1152" s="664" t="n">
        <v>1002</v>
      </c>
      <c r="I1152" s="665" t="n">
        <v>4.01</v>
      </c>
      <c r="L1152" s="663" t="e">
        <v>#REF!</v>
      </c>
    </row>
    <row r="1153">
      <c r="B1153" s="679" t="n">
        <v>111336</v>
      </c>
      <c r="F1153" s="680" t="inlineStr">
        <is>
          <t>F TANGO CONFETTI 75503</t>
        </is>
      </c>
      <c r="G1153" s="662" t="n"/>
      <c r="L1153" s="663" t="e">
        <v>#REF!</v>
      </c>
    </row>
    <row r="1154">
      <c r="B1154" s="679" t="n">
        <v>111368</v>
      </c>
      <c r="F1154" s="680" t="inlineStr">
        <is>
          <t>F COKATO CHOCOLATE 17300</t>
        </is>
      </c>
      <c r="G1154" s="662" t="n"/>
      <c r="H1154" s="664" t="n">
        <v>1002</v>
      </c>
      <c r="I1154" s="665" t="n">
        <v>2.91</v>
      </c>
      <c r="L1154" s="663" t="e">
        <v>#REF!</v>
      </c>
    </row>
    <row r="1155">
      <c r="B1155" s="679" t="n">
        <v>111076</v>
      </c>
      <c r="F1155" s="680" t="inlineStr">
        <is>
          <t xml:space="preserve"> F MINI CORDSTONE 70415</t>
        </is>
      </c>
      <c r="G1155" s="662" t="n"/>
      <c r="H1155" s="664" t="n">
        <v>1002</v>
      </c>
      <c r="I1155" s="665" t="n">
        <v>2.51</v>
      </c>
      <c r="L1155" s="663" t="e">
        <v>#REF!</v>
      </c>
    </row>
    <row r="1156">
      <c r="B1156" s="679" t="n">
        <v>110990</v>
      </c>
      <c r="F1156" s="680" t="inlineStr">
        <is>
          <t>F DALLAS CHOCOLATE 56500</t>
        </is>
      </c>
      <c r="G1156" s="662" t="n"/>
      <c r="H1156" s="664" t="n">
        <v>1002</v>
      </c>
      <c r="I1156" s="665" t="n">
        <v>2.43</v>
      </c>
      <c r="L1156" s="663" t="e">
        <v>#REF!</v>
      </c>
    </row>
    <row r="1157">
      <c r="B1157" s="679" t="n">
        <v>111418</v>
      </c>
      <c r="F1157" s="680" t="inlineStr">
        <is>
          <t xml:space="preserve"> KICKOFF (XC-285A)MOCHA</t>
        </is>
      </c>
      <c r="G1157" s="662" t="n"/>
      <c r="H1157" s="664" t="n">
        <v>1002</v>
      </c>
      <c r="I1157" s="665" t="n">
        <v>2.288</v>
      </c>
      <c r="L1157" s="663" t="e">
        <v>#REF!</v>
      </c>
    </row>
    <row r="1158">
      <c r="B1158" s="679" t="n">
        <v>110823</v>
      </c>
      <c r="F1158" s="680" t="inlineStr">
        <is>
          <t>F FIGUREEIGHTCANDY66701</t>
        </is>
      </c>
      <c r="G1158" s="662" t="n"/>
      <c r="L1158" s="663" t="e">
        <v>#REF!</v>
      </c>
    </row>
    <row r="1159">
      <c r="B1159" s="679" t="n">
        <v>111049</v>
      </c>
      <c r="F1159" s="680" t="inlineStr">
        <is>
          <t>F TABOOBURGUNDY77202</t>
        </is>
      </c>
      <c r="G1159" s="662" t="n"/>
      <c r="L1159" s="663" t="e">
        <v>#REF!</v>
      </c>
    </row>
    <row r="1160">
      <c r="B1160" s="679" t="n">
        <v>110989</v>
      </c>
      <c r="F1160" s="680" t="inlineStr">
        <is>
          <t>F MARDIGRASSPA56500/01/02</t>
        </is>
      </c>
      <c r="G1160" s="662" t="n"/>
      <c r="L1160" s="663" t="e">
        <v>#REF!</v>
      </c>
    </row>
    <row r="1161">
      <c r="B1161" s="679" t="n">
        <v>111388</v>
      </c>
      <c r="F1161" s="680" t="inlineStr">
        <is>
          <t>F GRIMSBY MUSHROOM(1) 12202</t>
        </is>
      </c>
      <c r="G1161" s="662" t="n"/>
      <c r="H1161" s="664" t="n">
        <v>1002</v>
      </c>
      <c r="I1161" s="665" t="n">
        <v>3.9</v>
      </c>
      <c r="L1161" s="663" t="e">
        <v>#REF!</v>
      </c>
    </row>
    <row r="1162">
      <c r="B1162" s="679" t="n">
        <v>111410</v>
      </c>
      <c r="F1162" s="680" t="inlineStr">
        <is>
          <t>F CONNECTICUTMOCHA 11000</t>
        </is>
      </c>
      <c r="G1162" s="662" t="n"/>
      <c r="H1162" s="664" t="n">
        <v>1041</v>
      </c>
      <c r="I1162" s="665" t="n">
        <v>7.93</v>
      </c>
      <c r="L1162" s="663" t="e">
        <v>#REF!</v>
      </c>
    </row>
    <row r="1163">
      <c r="B1163" s="679" t="n">
        <v>111418</v>
      </c>
      <c r="F1163" s="680" t="inlineStr">
        <is>
          <t>F ZADEE (XC285A)MOCHA 17605</t>
        </is>
      </c>
      <c r="G1163" s="662" t="n"/>
      <c r="L1163" s="663" t="e">
        <v>#REF!</v>
      </c>
    </row>
    <row r="1164">
      <c r="B1164" s="679" t="n">
        <v>111267</v>
      </c>
      <c r="F1164" s="681" t="inlineStr">
        <is>
          <t>F KAYLA (M9105) INDIGO 56400</t>
        </is>
      </c>
      <c r="G1164" s="662" t="n"/>
      <c r="H1164" s="664" t="n">
        <v>1094</v>
      </c>
      <c r="I1164" s="665" t="n">
        <v>6.3</v>
      </c>
      <c r="L1164" s="663" t="e">
        <v>#REF!</v>
      </c>
    </row>
    <row r="1165">
      <c r="B1165" s="679" t="n">
        <v>111271</v>
      </c>
      <c r="F1165" s="681" t="inlineStr">
        <is>
          <t>F PIVOTPOINT TRUFLE 10800</t>
        </is>
      </c>
      <c r="G1165" s="662" t="n"/>
      <c r="H1165" s="664" t="n">
        <v>1002</v>
      </c>
      <c r="I1165" s="665" t="n">
        <v>3.13</v>
      </c>
      <c r="L1165" s="663" t="e">
        <v>#REF!</v>
      </c>
    </row>
    <row r="1166">
      <c r="B1166" s="679" t="n">
        <v>111300</v>
      </c>
      <c r="F1166" s="681" t="inlineStr">
        <is>
          <t>F KEENDRE INDIGO 56400</t>
        </is>
      </c>
      <c r="G1166" s="662" t="n"/>
      <c r="H1166" s="664" t="n">
        <v>1002</v>
      </c>
      <c r="I1166" s="665" t="n">
        <v>4.04</v>
      </c>
      <c r="L1166" s="663" t="e">
        <v>#REF!</v>
      </c>
    </row>
    <row r="1167">
      <c r="B1167" s="679" t="n">
        <v>111338</v>
      </c>
      <c r="F1167" s="681" t="inlineStr">
        <is>
          <t>F PADMA SUNSET</t>
        </is>
      </c>
      <c r="G1167" s="662" t="n"/>
      <c r="L1167" s="663" t="e">
        <v>#REF!</v>
      </c>
    </row>
    <row r="1168">
      <c r="B1168" s="679" t="n">
        <v>111281</v>
      </c>
      <c r="F1168" s="680" t="inlineStr">
        <is>
          <t>F TRINSIC PEBBLE 13301</t>
        </is>
      </c>
      <c r="G1168" s="662" t="n"/>
      <c r="H1168" s="664" t="n">
        <v>1002</v>
      </c>
      <c r="I1168" s="665" t="n">
        <v>3.52</v>
      </c>
      <c r="L1168" s="663" t="e">
        <v>#REF!</v>
      </c>
    </row>
    <row r="1169">
      <c r="B1169" s="679" t="n">
        <v>111387</v>
      </c>
      <c r="F1169" s="680" t="inlineStr">
        <is>
          <t>F GALAND UMBER 11700</t>
        </is>
      </c>
      <c r="G1169" s="662" t="n"/>
      <c r="H1169" s="664" t="n">
        <v>1002</v>
      </c>
      <c r="I1169" s="665" t="n">
        <v>2.96</v>
      </c>
      <c r="L1169" s="663" t="e">
        <v>#REF!</v>
      </c>
    </row>
    <row r="1170">
      <c r="B1170" s="679" t="n">
        <v>110878</v>
      </c>
      <c r="F1170" s="682" t="inlineStr">
        <is>
          <t>F AMAZONWALNUT67505</t>
        </is>
      </c>
      <c r="G1170" s="662" t="n"/>
      <c r="H1170" s="664" t="n">
        <v>1002</v>
      </c>
      <c r="I1170" s="665" t="n">
        <v>3.76</v>
      </c>
      <c r="L1170" s="663" t="e">
        <v>#REF!</v>
      </c>
    </row>
    <row r="1171">
      <c r="B1171" s="678" t="n">
        <v>110991</v>
      </c>
      <c r="F1171" s="682" t="inlineStr">
        <is>
          <t>F DALLASKHAKI56501</t>
        </is>
      </c>
      <c r="G1171" s="662" t="n"/>
      <c r="H1171" s="664" t="n">
        <v>1002</v>
      </c>
      <c r="I1171" s="665" t="n">
        <v>2.43</v>
      </c>
      <c r="L1171" s="663" t="e">
        <v>#REF!</v>
      </c>
    </row>
    <row r="1172">
      <c r="B1172" s="678" t="n">
        <v>111003</v>
      </c>
      <c r="F1172" s="682" t="inlineStr">
        <is>
          <t>F ROGUEAUTUMN39200</t>
        </is>
      </c>
      <c r="G1172" s="662" t="n"/>
      <c r="H1172" s="664" t="n">
        <v>1098</v>
      </c>
      <c r="I1172" s="665" t="n">
        <v>5.7</v>
      </c>
      <c r="L1172" s="663" t="e">
        <v>#REF!</v>
      </c>
    </row>
    <row r="1173">
      <c r="B1173" s="678" t="n">
        <v>111020</v>
      </c>
      <c r="F1173" s="682" t="inlineStr">
        <is>
          <t>F KALDISCOPESTEEL13102/00</t>
        </is>
      </c>
      <c r="G1173" s="662" t="n"/>
      <c r="H1173" s="664" t="n">
        <v>1091</v>
      </c>
      <c r="I1173" s="665" t="n">
        <v>5.82</v>
      </c>
      <c r="L1173" s="663" t="e">
        <v>#REF!</v>
      </c>
    </row>
    <row r="1174">
      <c r="B1174" s="678" t="n">
        <v>111286</v>
      </c>
      <c r="F1174" s="682" t="inlineStr">
        <is>
          <t>F WILKESGRAPHITE31301</t>
        </is>
      </c>
      <c r="G1174" s="662" t="n"/>
      <c r="H1174" s="664" t="n">
        <v>1002</v>
      </c>
      <c r="I1174" s="665" t="n">
        <v>6.61</v>
      </c>
      <c r="L1174" s="663" t="e">
        <v>#REF!</v>
      </c>
    </row>
    <row r="1175">
      <c r="B1175" s="678" t="n">
        <v>111355</v>
      </c>
      <c r="F1175" s="682" t="inlineStr">
        <is>
          <t xml:space="preserve">F LOVE JOYSTONE11100  </t>
        </is>
      </c>
      <c r="G1175" s="662" t="n"/>
      <c r="H1175" s="664" t="n">
        <v>1091</v>
      </c>
      <c r="I1175" s="665" t="n">
        <v>8.51</v>
      </c>
      <c r="L1175" s="663" t="e">
        <v>#REF!</v>
      </c>
    </row>
    <row r="1176">
      <c r="B1176" s="678" t="n">
        <v>180088</v>
      </c>
      <c r="F1176" s="682" t="inlineStr">
        <is>
          <t>V DURABLENDNATURAL 46802/45401</t>
        </is>
      </c>
      <c r="G1176" s="662" t="n"/>
      <c r="H1176" s="664" t="n">
        <v>1035</v>
      </c>
      <c r="I1176" s="665" t="n">
        <v>5</v>
      </c>
      <c r="L1176" s="663" t="e">
        <v>#REF!</v>
      </c>
    </row>
    <row r="1177">
      <c r="B1177" s="678" t="n">
        <v>180089</v>
      </c>
      <c r="F1177" s="682" t="inlineStr">
        <is>
          <t>V VINYLNATURAL 46802/45401</t>
        </is>
      </c>
      <c r="G1177" s="662" t="n"/>
      <c r="H1177" s="664" t="n">
        <v>1006</v>
      </c>
      <c r="I1177" s="665" t="n">
        <v>3.71</v>
      </c>
      <c r="L1177" s="663" t="e">
        <v>#REF!</v>
      </c>
    </row>
    <row r="1178">
      <c r="B1178" s="678" t="n">
        <v>180185</v>
      </c>
      <c r="F1178" s="682" t="inlineStr">
        <is>
          <t>V KNOX DURABLENDCOFFEE 13200</t>
        </is>
      </c>
      <c r="G1178" s="662" t="n"/>
      <c r="H1178" s="664" t="n">
        <v>1035</v>
      </c>
      <c r="I1178" s="665" t="n">
        <v>4.5</v>
      </c>
      <c r="L1178" s="663" t="e">
        <v>#REF!</v>
      </c>
    </row>
    <row r="1179">
      <c r="B1179" s="678" t="n">
        <v>111285</v>
      </c>
      <c r="F1179" s="682" t="inlineStr">
        <is>
          <t xml:space="preserve"> F TOSHA LINEN31101</t>
        </is>
      </c>
      <c r="G1179" s="662" t="n"/>
      <c r="H1179" s="664" t="n">
        <v>1002</v>
      </c>
      <c r="I1179" s="665" t="n">
        <v>3.09</v>
      </c>
      <c r="L1179" s="663" t="e">
        <v>#REF!</v>
      </c>
    </row>
    <row r="1180">
      <c r="B1180" s="678" t="n">
        <v>101007</v>
      </c>
      <c r="F1180" s="682" t="inlineStr">
        <is>
          <t>5/32" SOFT FOAM WELT CORDS</t>
        </is>
      </c>
      <c r="G1180" s="662" t="n"/>
      <c r="H1180" s="664" t="n">
        <v>1032</v>
      </c>
      <c r="I1180" s="665" t="n">
        <v>0.0394</v>
      </c>
      <c r="J1180" s="666" t="inlineStr">
        <is>
          <t>M</t>
        </is>
      </c>
      <c r="L1180" s="663" t="e">
        <v>#REF!</v>
      </c>
    </row>
    <row r="1181">
      <c r="B1181" s="678" t="n">
        <v>100673</v>
      </c>
      <c r="F1181" s="682" t="inlineStr">
        <is>
          <t>1" WIDE DARK BROWN VELCRO HK</t>
        </is>
      </c>
      <c r="G1181" s="662" t="n"/>
      <c r="H1181" s="664" t="n">
        <v>1017</v>
      </c>
      <c r="I1181" s="665" t="n">
        <v>0.0412</v>
      </c>
      <c r="J1181" s="666" t="inlineStr">
        <is>
          <t>M</t>
        </is>
      </c>
      <c r="L1181" s="663" t="e">
        <v>#REF!</v>
      </c>
    </row>
    <row r="1182">
      <c r="B1182" s="678" t="n">
        <v>111291</v>
      </c>
      <c r="F1182" s="682" t="inlineStr">
        <is>
          <t xml:space="preserve"> F POSEY SLATE 12402</t>
        </is>
      </c>
      <c r="G1182" s="662" t="n"/>
      <c r="H1182" s="664" t="n">
        <v>1002</v>
      </c>
      <c r="I1182" s="665" t="n">
        <v>6.6</v>
      </c>
      <c r="L1182" s="663" t="e">
        <v>#REF!</v>
      </c>
    </row>
    <row r="1183">
      <c r="B1183" s="678" t="n">
        <v>111411</v>
      </c>
      <c r="F1183" s="682" t="inlineStr">
        <is>
          <t>F JONAHLATTE 11000</t>
        </is>
      </c>
      <c r="G1183" s="662" t="n"/>
      <c r="H1183" s="664" t="n">
        <v>1002</v>
      </c>
      <c r="I1183" s="665" t="n">
        <v>6</v>
      </c>
      <c r="L1183" s="663" t="e">
        <v>#REF!</v>
      </c>
    </row>
    <row r="1184">
      <c r="B1184" s="678" t="n">
        <v>180208</v>
      </c>
      <c r="F1184" s="682" t="inlineStr">
        <is>
          <t xml:space="preserve"> V PUTAUPE 30200</t>
        </is>
      </c>
      <c r="G1184" s="662" t="n"/>
      <c r="H1184" s="664" t="n">
        <v>1035</v>
      </c>
      <c r="I1184" s="665" t="n">
        <v>2.704</v>
      </c>
      <c r="L1184" s="663" t="e">
        <v>#REF!</v>
      </c>
    </row>
    <row r="1185">
      <c r="B1185" s="678" t="n">
        <v>180207</v>
      </c>
      <c r="F1185" s="682" t="inlineStr">
        <is>
          <t>WINDMASTERDURABLEND TAUPE30200</t>
        </is>
      </c>
      <c r="G1185" s="662" t="n"/>
      <c r="H1185" s="664" t="n">
        <v>1035</v>
      </c>
      <c r="I1185" s="665" t="n">
        <v>3.972</v>
      </c>
      <c r="L1185" s="663" t="e">
        <v>#REF!</v>
      </c>
    </row>
    <row r="1186">
      <c r="B1186" s="678" t="n">
        <v>111329</v>
      </c>
      <c r="F1186" s="682" t="inlineStr">
        <is>
          <t>F ACIEONASLATE 58300</t>
        </is>
      </c>
      <c r="G1186" s="662" t="n"/>
      <c r="H1186" s="664" t="n">
        <v>1002</v>
      </c>
      <c r="L1186" s="663" t="e">
        <v>#REF!</v>
      </c>
    </row>
    <row r="1187">
      <c r="B1187" s="678" t="n">
        <v>111421</v>
      </c>
      <c r="F1187" s="682" t="inlineStr">
        <is>
          <t xml:space="preserve"> F ALZENA GUNSMOKE 71400</t>
        </is>
      </c>
      <c r="G1187" s="662" t="n"/>
      <c r="H1187" s="664" t="n">
        <v>1100</v>
      </c>
      <c r="I1187" s="665" t="n">
        <v>3.76</v>
      </c>
      <c r="L1187" s="663" t="e">
        <v>#REF!</v>
      </c>
    </row>
    <row r="1188">
      <c r="B1188" s="678" t="n">
        <v>111334</v>
      </c>
      <c r="F1188" s="680" t="inlineStr">
        <is>
          <t>F OBERSON GUNSMOKE 74100</t>
        </is>
      </c>
      <c r="G1188" s="662" t="n"/>
      <c r="H1188" s="664" t="n">
        <v>1002</v>
      </c>
      <c r="I1188" s="665" t="n">
        <v>4.43</v>
      </c>
      <c r="L1188" s="663" t="e">
        <v>#REF!</v>
      </c>
    </row>
    <row r="1189">
      <c r="B1189" s="678" t="n">
        <v>111413</v>
      </c>
      <c r="F1189" s="680" t="inlineStr">
        <is>
          <t>F TIDEWATERMAPLE 13000</t>
        </is>
      </c>
      <c r="G1189" s="662" t="n"/>
      <c r="H1189" s="664" t="n">
        <v>1002</v>
      </c>
      <c r="I1189" s="665" t="n">
        <v>4.21</v>
      </c>
      <c r="L1189" s="663" t="e">
        <v>#REF!</v>
      </c>
    </row>
    <row r="1190">
      <c r="B1190" s="678" t="n">
        <v>111414</v>
      </c>
      <c r="F1190" s="680" t="inlineStr">
        <is>
          <t>F LOVELETTERUMBER 13000</t>
        </is>
      </c>
      <c r="G1190" s="662" t="n"/>
      <c r="H1190" s="664" t="n">
        <v>1099</v>
      </c>
      <c r="I1190" s="665" t="n">
        <v>6</v>
      </c>
      <c r="L1190" s="663" t="e">
        <v>#REF!</v>
      </c>
    </row>
    <row r="1191">
      <c r="B1191" s="678" t="n">
        <v>111322</v>
      </c>
      <c r="F1191" s="682" t="inlineStr">
        <is>
          <t>F MASOLI COBBLESTONE14200</t>
        </is>
      </c>
      <c r="G1191" s="662" t="n"/>
      <c r="H1191" s="664" t="n">
        <v>1002</v>
      </c>
      <c r="I1191" s="665" t="n">
        <v>2.398</v>
      </c>
      <c r="L1191" s="663" t="e">
        <v>#REF!</v>
      </c>
    </row>
    <row r="1192">
      <c r="B1192" s="678" t="n">
        <v>111323</v>
      </c>
      <c r="F1192" s="682" t="inlineStr">
        <is>
          <t>F DURAPLUSH(JX038)BLACK14200</t>
        </is>
      </c>
      <c r="G1192" s="662" t="n"/>
      <c r="H1192" s="664" t="n">
        <v>1002</v>
      </c>
      <c r="I1192" s="665" t="n">
        <v>2.448</v>
      </c>
      <c r="L1192" s="663" t="e">
        <v>#REF!</v>
      </c>
    </row>
    <row r="1193">
      <c r="B1193" s="678" t="n">
        <v>79793</v>
      </c>
      <c r="F1193" s="682" t="inlineStr">
        <is>
          <t xml:space="preserve"> F DURAPLUSH STONE 14201</t>
        </is>
      </c>
      <c r="G1193" s="662" t="n"/>
      <c r="H1193" s="664" t="n">
        <v>1002</v>
      </c>
      <c r="I1193" s="665" t="n">
        <v>2.448</v>
      </c>
      <c r="L1193" s="663" t="e">
        <v>#REF!</v>
      </c>
    </row>
    <row r="1194">
      <c r="B1194" s="678" t="n">
        <v>75135</v>
      </c>
      <c r="F1194" s="682" t="inlineStr">
        <is>
          <t>D/SD PIN SCR-PSH CTTM1040HXBLK</t>
        </is>
      </c>
      <c r="G1194" s="662" t="n"/>
      <c r="H1194" s="664" t="n">
        <v>1036</v>
      </c>
      <c r="I1194" s="665" t="n">
        <v>0.0456</v>
      </c>
      <c r="J1194" s="666" t="inlineStr">
        <is>
          <t>EA</t>
        </is>
      </c>
      <c r="L1194" s="663" t="e">
        <v>#REF!</v>
      </c>
    </row>
    <row r="1195" ht="28.5" customHeight="1">
      <c r="B1195" s="678" t="n">
        <v>111003</v>
      </c>
      <c r="F1195" s="682" t="inlineStr">
        <is>
          <t>F ROGUEAUTUMN39200</t>
        </is>
      </c>
      <c r="G1195" s="662" t="n"/>
      <c r="L1195" s="663" t="e">
        <v>#REF!</v>
      </c>
    </row>
    <row r="1196" ht="28.5" customHeight="1">
      <c r="B1196" s="678" t="n">
        <v>111140</v>
      </c>
      <c r="F1196" s="682" t="inlineStr">
        <is>
          <t>F LINEVILLE (FLORAL)LINEN78200</t>
        </is>
      </c>
      <c r="G1196" s="662" t="n"/>
      <c r="H1196" s="664" t="n">
        <v>1002</v>
      </c>
      <c r="I1196" s="665" t="n">
        <v>4.07</v>
      </c>
      <c r="L1196" s="663" t="e">
        <v>#REF!</v>
      </c>
    </row>
    <row r="1197" ht="28.5" customHeight="1">
      <c r="B1197" s="678" t="n">
        <v>111412</v>
      </c>
      <c r="F1197" s="682" t="inlineStr">
        <is>
          <t>F MILARILINEN13000</t>
        </is>
      </c>
      <c r="G1197" s="662" t="n"/>
      <c r="H1197" s="664" t="n">
        <v>1002</v>
      </c>
      <c r="I1197" s="665" t="n">
        <v>3.41</v>
      </c>
      <c r="L1197" s="663" t="e">
        <v>#REF!</v>
      </c>
    </row>
    <row r="1198" ht="28.5" customHeight="1">
      <c r="B1198" s="678" t="n">
        <v>110793</v>
      </c>
      <c r="F1198" s="683" t="inlineStr">
        <is>
          <t>F DURAPLUSH (BJ) ESPRESSO 14201</t>
        </is>
      </c>
      <c r="G1198" s="662" t="n"/>
      <c r="H1198" s="664" t="n">
        <v>1002</v>
      </c>
      <c r="I1198" s="665" t="n">
        <v>3.04</v>
      </c>
      <c r="L1198" s="663" t="e">
        <v>#REF!</v>
      </c>
    </row>
    <row r="1199" ht="28.5" customHeight="1">
      <c r="B1199" s="684" t="n">
        <v>111313</v>
      </c>
      <c r="C1199" s="671" t="n"/>
      <c r="D1199" s="671" t="n"/>
      <c r="E1199" s="671" t="n"/>
      <c r="F1199" s="683" t="inlineStr">
        <is>
          <t>F CORDI(SHARPEI)DUNE 10102</t>
        </is>
      </c>
      <c r="G1199" s="662" t="n"/>
      <c r="H1199" s="664" t="n">
        <v>1002</v>
      </c>
      <c r="I1199" s="665" t="n">
        <v>3.43</v>
      </c>
      <c r="L1199" s="663" t="e">
        <v>#REF!</v>
      </c>
    </row>
    <row r="1200" ht="28.5" customHeight="1">
      <c r="B1200" s="678" t="n">
        <v>111322</v>
      </c>
      <c r="F1200" s="682" t="inlineStr">
        <is>
          <t>F MASOLI COBBLESTONE 14200</t>
        </is>
      </c>
      <c r="G1200" s="662" t="n"/>
      <c r="L1200" s="663" t="e">
        <v>#REF!</v>
      </c>
    </row>
    <row r="1201" ht="28.5" customHeight="1">
      <c r="B1201" s="678" t="n">
        <v>111323</v>
      </c>
      <c r="F1201" s="682" t="inlineStr">
        <is>
          <t>F DURAPLUSH BLACK 14200</t>
        </is>
      </c>
      <c r="G1201" s="662" t="n"/>
      <c r="L1201" s="663" t="e">
        <v>#REF!</v>
      </c>
    </row>
    <row r="1202" ht="28.5" customHeight="1">
      <c r="B1202" s="678" t="n">
        <v>111383</v>
      </c>
      <c r="F1202" s="682" t="inlineStr">
        <is>
          <t>F CORALPIKE(BQ416)PEWTER 10101</t>
        </is>
      </c>
      <c r="G1202" s="662" t="n"/>
      <c r="H1202" s="664" t="n">
        <v>1002</v>
      </c>
      <c r="I1202" s="665" t="n">
        <v>3.78</v>
      </c>
      <c r="L1202" s="663" t="e">
        <v>#REF!</v>
      </c>
    </row>
    <row r="1203" ht="28.5" customHeight="1">
      <c r="B1203" s="678" t="n">
        <v>79793</v>
      </c>
      <c r="F1203" s="682" t="inlineStr">
        <is>
          <t>F DURAPLUSHSTONE30301/19401</t>
        </is>
      </c>
      <c r="G1203" s="662" t="n"/>
      <c r="L1203" s="663" t="e">
        <v>#REF!</v>
      </c>
    </row>
    <row r="1204" ht="28.5" customHeight="1">
      <c r="B1204" s="678" t="n">
        <v>79827</v>
      </c>
      <c r="F1204" s="682" t="inlineStr">
        <is>
          <t>F DURAHIDEBICASTBLACK71800</t>
        </is>
      </c>
      <c r="G1204" s="662" t="n"/>
      <c r="H1204" s="664" t="n">
        <v>1035</v>
      </c>
      <c r="I1204" s="665" t="n">
        <v>2.51</v>
      </c>
      <c r="L1204" s="663" t="e">
        <v>#REF!</v>
      </c>
    </row>
    <row r="1205" ht="28.5" customHeight="1">
      <c r="B1205" s="678" t="n">
        <v>111384</v>
      </c>
      <c r="F1205" s="682" t="inlineStr">
        <is>
          <t>F DORIESTAKES  PEBBLE1 8001</t>
        </is>
      </c>
      <c r="G1205" s="662" t="n"/>
      <c r="H1205" s="664" t="n">
        <v>1002</v>
      </c>
      <c r="I1205" s="665" t="n">
        <v>3.78</v>
      </c>
      <c r="L1205" s="663" t="e">
        <v>#REF!</v>
      </c>
    </row>
    <row r="1206" ht="28.5" customHeight="1">
      <c r="B1206" s="678" t="n">
        <v>180211</v>
      </c>
      <c r="F1206" s="682" t="inlineStr">
        <is>
          <t xml:space="preserve">V  PUBLACK 10603 </t>
        </is>
      </c>
      <c r="G1206" s="662" t="n"/>
      <c r="H1206" s="664" t="n">
        <v>1035</v>
      </c>
      <c r="I1206" s="665" t="n">
        <v>3.36</v>
      </c>
      <c r="L1206" s="663" t="e">
        <v>#REF!</v>
      </c>
    </row>
    <row r="1207" ht="28.5" customHeight="1">
      <c r="B1207" s="678" t="n">
        <v>180212</v>
      </c>
      <c r="F1207" s="682" t="inlineStr">
        <is>
          <t>V PRIMEMATICDURABLENDCRIMSON17</t>
        </is>
      </c>
      <c r="G1207" s="662" t="n"/>
      <c r="H1207" s="664" t="n">
        <v>1101</v>
      </c>
      <c r="I1207" s="665" t="n">
        <v>4.03</v>
      </c>
      <c r="L1207" s="663" t="e">
        <v>#REF!</v>
      </c>
    </row>
    <row r="1208" ht="28.5" customHeight="1">
      <c r="B1208" s="678" t="n">
        <v>180213</v>
      </c>
      <c r="F1208" s="682" t="inlineStr">
        <is>
          <t>V PRIMEMATICPU CRIMSON 17800</t>
        </is>
      </c>
      <c r="G1208" s="662" t="n"/>
      <c r="H1208" s="664" t="n">
        <v>1102</v>
      </c>
      <c r="I1208" s="665" t="n">
        <v>2.74</v>
      </c>
      <c r="L1208" s="663" t="e">
        <v>#REF!</v>
      </c>
    </row>
    <row r="1209">
      <c r="B1209" s="678" t="n">
        <v>111165</v>
      </c>
      <c r="F1209" s="682" t="inlineStr">
        <is>
          <t>F TRUSCOTTICAFE 87103</t>
        </is>
      </c>
      <c r="H1209" s="664" t="n">
        <v>1002</v>
      </c>
      <c r="I1209" s="665" t="n">
        <v>3.43</v>
      </c>
      <c r="L1209" s="663" t="e">
        <v>#REF!</v>
      </c>
    </row>
    <row r="1210">
      <c r="B1210" s="678" t="n">
        <v>111349</v>
      </c>
      <c r="F1210" s="682" t="inlineStr">
        <is>
          <t xml:space="preserve">F BLAST THUNDER 71100   </t>
        </is>
      </c>
      <c r="L1210" s="663" t="e">
        <v>#REF!</v>
      </c>
    </row>
    <row r="1211">
      <c r="B1211" s="678" t="n">
        <v>100976</v>
      </c>
      <c r="F1211" s="661" t="inlineStr">
        <is>
          <t>U-BRAD 5/8" Z FINISH</t>
        </is>
      </c>
      <c r="H1211" s="664" t="n">
        <v>1052</v>
      </c>
      <c r="I1211" s="665" t="n">
        <v>0.0221</v>
      </c>
      <c r="J1211" s="666" t="inlineStr">
        <is>
          <t>EA</t>
        </is>
      </c>
      <c r="L1211" s="663" t="e">
        <v>#REF!</v>
      </c>
    </row>
    <row r="1212">
      <c r="B1212" s="678" t="n">
        <v>200118</v>
      </c>
      <c r="F1212" s="682" t="inlineStr">
        <is>
          <t>22MM DIAMETER BRAD-154 FINISH</t>
        </is>
      </c>
      <c r="H1212" s="664" t="n">
        <v>1036</v>
      </c>
      <c r="I1212" s="665" t="n">
        <v>0.0331</v>
      </c>
      <c r="J1212" s="666" t="inlineStr">
        <is>
          <t>EA</t>
        </is>
      </c>
      <c r="L1212" s="663" t="e">
        <v>#REF!</v>
      </c>
    </row>
    <row r="1213">
      <c r="B1213" s="678" t="n">
        <v>111328</v>
      </c>
      <c r="F1213" s="675" t="inlineStr">
        <is>
          <t>F INNER PEACEBELUGA 54501</t>
        </is>
      </c>
      <c r="H1213" s="664" t="n">
        <v>1002</v>
      </c>
      <c r="I1213" s="665" t="n">
        <v>2.54</v>
      </c>
      <c r="L1213" s="663" t="e">
        <v>#REF!</v>
      </c>
    </row>
    <row r="1214">
      <c r="B1214" s="684" t="n">
        <v>111436</v>
      </c>
      <c r="C1214" s="671" t="n"/>
      <c r="D1214" s="671" t="n"/>
      <c r="E1214" s="671" t="n"/>
      <c r="F1214" s="671" t="inlineStr">
        <is>
          <t>DESHAN (XC132) BRICH 16000</t>
        </is>
      </c>
      <c r="H1214" s="664" t="n">
        <v>1002</v>
      </c>
      <c r="I1214" s="665" t="n">
        <v>2.41</v>
      </c>
      <c r="L1214" s="663" t="e">
        <v>#REF!</v>
      </c>
    </row>
    <row r="1215">
      <c r="B1215" s="684" t="n">
        <v>111437</v>
      </c>
      <c r="C1215" s="671" t="n"/>
      <c r="D1215" s="671" t="n"/>
      <c r="E1215" s="671" t="n"/>
      <c r="F1215" s="671" t="inlineStr">
        <is>
          <t>CAMDON(XC132)PUMPKIN 16000</t>
        </is>
      </c>
      <c r="H1215" s="664" t="n">
        <v>1002</v>
      </c>
      <c r="I1215" s="665" t="n">
        <v>2.41</v>
      </c>
      <c r="L1215" s="663" t="e">
        <v>#REF!</v>
      </c>
    </row>
    <row r="1216">
      <c r="B1216" s="684" t="n">
        <v>111438</v>
      </c>
      <c r="C1216" s="671" t="n"/>
      <c r="D1216" s="671" t="n"/>
      <c r="E1216" s="671" t="n"/>
      <c r="F1216" s="671" t="inlineStr">
        <is>
          <t>DESHAN (XC132)CHOCOLATE 16001</t>
        </is>
      </c>
      <c r="H1216" s="664" t="n">
        <v>1002</v>
      </c>
      <c r="I1216" s="665" t="n">
        <v>2.41</v>
      </c>
      <c r="L1216" s="663" t="e">
        <v>#REF!</v>
      </c>
    </row>
    <row r="1217">
      <c r="B1217" s="678" t="n">
        <v>180238</v>
      </c>
      <c r="F1217" s="685" t="inlineStr">
        <is>
          <t>V DURABLENDCHOCOLATE 20101</t>
        </is>
      </c>
      <c r="H1217" s="664" t="n">
        <v>1035</v>
      </c>
      <c r="I1217" s="665" t="n">
        <v>4.03</v>
      </c>
      <c r="L1217" s="663" t="e">
        <v>#REF!</v>
      </c>
    </row>
    <row r="1218">
      <c r="B1218" s="678" t="n">
        <v>180239</v>
      </c>
      <c r="F1218" s="685" t="inlineStr">
        <is>
          <t>V VINYLCHOCOLATE 20101</t>
        </is>
      </c>
      <c r="H1218" s="664" t="n">
        <v>1035</v>
      </c>
      <c r="I1218" s="665" t="n">
        <v>2.74</v>
      </c>
      <c r="L1218" s="663" t="e">
        <v>#REF!</v>
      </c>
    </row>
    <row r="1219">
      <c r="B1219" s="678" t="n">
        <v>110771</v>
      </c>
      <c r="F1219" s="685" t="inlineStr">
        <is>
          <t>F SIGNATUREGODIVA 63100</t>
        </is>
      </c>
      <c r="H1219" s="664" t="n">
        <v>1002</v>
      </c>
      <c r="I1219" s="665" t="n">
        <v>3.91</v>
      </c>
      <c r="L1219" s="663" t="e">
        <v>#REF!</v>
      </c>
    </row>
    <row r="1220">
      <c r="B1220" s="678" t="n">
        <v>110900</v>
      </c>
      <c r="F1220" s="685" t="inlineStr">
        <is>
          <t>F HARTFORD (ANGELICA) WALNUT</t>
        </is>
      </c>
      <c r="H1220" s="664" t="n">
        <v>1104</v>
      </c>
      <c r="I1220" s="665" t="n">
        <v>5.6</v>
      </c>
      <c r="L1220" s="663" t="e">
        <v>#REF!</v>
      </c>
    </row>
    <row r="1221">
      <c r="B1221" s="678" t="n">
        <v>110901</v>
      </c>
      <c r="F1221" s="685" t="inlineStr">
        <is>
          <t>F COMINGHOMECHESTNUT 26700</t>
        </is>
      </c>
      <c r="H1221" s="664" t="n">
        <v>1105</v>
      </c>
      <c r="I1221" s="665" t="n">
        <v>9.43</v>
      </c>
      <c r="L1221" s="663" t="e">
        <v>#REF!</v>
      </c>
    </row>
    <row r="1222">
      <c r="B1222" s="678" t="n">
        <v>110902</v>
      </c>
      <c r="F1222" s="685" t="inlineStr">
        <is>
          <t>F MARYLANDCAREFE 26700</t>
        </is>
      </c>
      <c r="H1222" s="664" t="n">
        <v>1002</v>
      </c>
      <c r="I1222" s="665" t="n">
        <v>5.39</v>
      </c>
      <c r="L1222" s="663" t="e">
        <v>#REF!</v>
      </c>
    </row>
    <row r="1223">
      <c r="B1223" s="678" t="n">
        <v>111089</v>
      </c>
      <c r="F1223" s="685" t="inlineStr">
        <is>
          <t>F GRENADAMOCHA82603/85904</t>
        </is>
      </c>
      <c r="H1223" s="664" t="n">
        <v>1002</v>
      </c>
      <c r="I1223" s="665" t="n">
        <v>3.9</v>
      </c>
      <c r="L1223" s="663" t="e">
        <v>#REF!</v>
      </c>
    </row>
    <row r="1224">
      <c r="B1224" s="678" t="n">
        <v>111091</v>
      </c>
      <c r="F1224" s="685" t="inlineStr">
        <is>
          <t>F FLASHDRIVEGREY85904</t>
        </is>
      </c>
      <c r="H1224" s="664" t="n">
        <v>1108</v>
      </c>
      <c r="I1224" s="665" t="n">
        <v>9.630000000000001</v>
      </c>
      <c r="L1224" s="663" t="e">
        <v>#REF!</v>
      </c>
    </row>
    <row r="1225">
      <c r="B1225" s="678" t="n">
        <v>111166</v>
      </c>
      <c r="F1225" s="685" t="inlineStr">
        <is>
          <t>F BLACKSMITHRUSTIC 87103</t>
        </is>
      </c>
      <c r="H1225" s="664" t="n">
        <v>1002</v>
      </c>
      <c r="I1225" s="665" t="n">
        <v>7.02</v>
      </c>
      <c r="L1225" s="663" t="e">
        <v>#REF!</v>
      </c>
    </row>
    <row r="1226">
      <c r="B1226" s="678" t="n">
        <v>111443</v>
      </c>
      <c r="F1226" s="685" t="inlineStr">
        <is>
          <t>F NOLANA CHARCOAL 16501</t>
        </is>
      </c>
      <c r="H1226" s="664" t="n">
        <v>1110</v>
      </c>
      <c r="I1226" s="665" t="n">
        <v>2.87</v>
      </c>
      <c r="L1226" s="663" t="e">
        <v>#REF!</v>
      </c>
    </row>
    <row r="1227">
      <c r="B1227" s="678" t="n">
        <v>111455</v>
      </c>
      <c r="F1227" s="685" t="inlineStr">
        <is>
          <t>F DEVANTE(TRAVERTIN ) SLATE 63202</t>
        </is>
      </c>
      <c r="H1227" s="664" t="n">
        <v>1002</v>
      </c>
      <c r="I1227" s="665" t="n">
        <v>2.89</v>
      </c>
      <c r="L1227" s="663" t="e">
        <v>#REF!</v>
      </c>
    </row>
    <row r="1228">
      <c r="B1228" s="678" t="n">
        <v>111456</v>
      </c>
      <c r="F1228" s="685" t="inlineStr">
        <is>
          <t>F GRAFFITINIGHHTLIGHT 63202</t>
        </is>
      </c>
      <c r="H1228" s="664" t="n">
        <v>1002</v>
      </c>
      <c r="I1228" s="665" t="n">
        <v>8.59</v>
      </c>
      <c r="L1228" s="663" t="e">
        <v>#REF!</v>
      </c>
    </row>
    <row r="1229">
      <c r="B1229" s="678" t="n">
        <v>100324</v>
      </c>
      <c r="F1229" s="685" t="inlineStr">
        <is>
          <t>KASANDRA GIMP Q146/63100</t>
        </is>
      </c>
      <c r="H1229" s="664" t="n">
        <v>1038</v>
      </c>
      <c r="I1229" s="665" t="n">
        <v>0.232</v>
      </c>
      <c r="J1229" s="666" t="inlineStr">
        <is>
          <t>M</t>
        </is>
      </c>
      <c r="L1229" s="663" t="e">
        <v>#REF!</v>
      </c>
    </row>
    <row r="1230">
      <c r="B1230" s="678" t="n">
        <v>100713</v>
      </c>
      <c r="F1230" s="685" t="inlineStr">
        <is>
          <t>FRINGE FIRE SIDE 36001/63100</t>
        </is>
      </c>
      <c r="H1230" s="664" t="n">
        <v>1038</v>
      </c>
      <c r="I1230" s="665" t="n">
        <v>0.4742</v>
      </c>
      <c r="J1230" s="666" t="inlineStr">
        <is>
          <t>M</t>
        </is>
      </c>
      <c r="L1230" s="663" t="e">
        <v>#REF!</v>
      </c>
    </row>
    <row r="1231">
      <c r="B1231" s="678" t="n">
        <v>100738</v>
      </c>
      <c r="F1231" s="685" t="inlineStr">
        <is>
          <t>BUTTON 63100(D) #30  2.5 IN PRONG</t>
        </is>
      </c>
      <c r="H1231" s="664" t="n">
        <v>1036</v>
      </c>
      <c r="I1231" s="665" t="n">
        <v>0.0396</v>
      </c>
      <c r="J1231" s="666" t="inlineStr">
        <is>
          <t>EA</t>
        </is>
      </c>
      <c r="L1231" s="663" t="e">
        <v>#REF!</v>
      </c>
    </row>
    <row r="1232">
      <c r="B1232" s="678" t="n">
        <v>180236</v>
      </c>
      <c r="F1232" s="685" t="inlineStr">
        <is>
          <t xml:space="preserve"> V DURABLENDSALSA 20100</t>
        </is>
      </c>
      <c r="H1232" s="664" t="n">
        <v>1035</v>
      </c>
      <c r="I1232" s="665" t="n">
        <v>4.03</v>
      </c>
      <c r="L1232" s="663" t="e">
        <v>#REF!</v>
      </c>
    </row>
    <row r="1233">
      <c r="B1233" s="678" t="n">
        <v>180237</v>
      </c>
      <c r="F1233" s="686" t="inlineStr">
        <is>
          <t>V VINYLSALSA 20100</t>
        </is>
      </c>
      <c r="H1233" s="664" t="n">
        <v>1035</v>
      </c>
      <c r="I1233" s="665" t="n">
        <v>2.74</v>
      </c>
      <c r="L1233" s="663" t="e">
        <v>#REF!</v>
      </c>
    </row>
    <row r="1234">
      <c r="B1234" s="678" t="n">
        <v>111439</v>
      </c>
      <c r="F1234" s="685" t="inlineStr">
        <is>
          <t>F GABRIELLALIME 165XX</t>
        </is>
      </c>
      <c r="H1234" s="664" t="n">
        <v>1083</v>
      </c>
      <c r="I1234" s="665" t="n">
        <v>4.22</v>
      </c>
      <c r="L1234" s="663" t="e">
        <v>#REF!</v>
      </c>
    </row>
    <row r="1235">
      <c r="B1235" s="678" t="n">
        <v>111440</v>
      </c>
      <c r="F1235" s="685" t="inlineStr">
        <is>
          <t>F WILLALIME 165XX</t>
        </is>
      </c>
      <c r="H1235" s="664" t="n">
        <v>1083</v>
      </c>
      <c r="I1235" s="665" t="n">
        <v>4.12</v>
      </c>
      <c r="L1235" s="663" t="e">
        <v>#REF!</v>
      </c>
    </row>
    <row r="1236">
      <c r="B1236" s="678" t="n">
        <v>100814</v>
      </c>
      <c r="F1236" s="685" t="inlineStr">
        <is>
          <t>JK ZIPPER CHAIN WITH SLIDE -5# -BLACK -18"</t>
        </is>
      </c>
      <c r="H1236" s="664" t="n">
        <v>1109</v>
      </c>
      <c r="I1236" s="665" t="n">
        <v>0.132</v>
      </c>
      <c r="J1236" s="666" t="inlineStr">
        <is>
          <t>EA</t>
        </is>
      </c>
      <c r="L1236" s="663" t="e">
        <v>#REF!</v>
      </c>
    </row>
    <row r="1237">
      <c r="B1237" s="678" t="n">
        <v>111442</v>
      </c>
      <c r="F1237" s="685" t="inlineStr">
        <is>
          <t>F NOLANACITRON(GREEN) 16500</t>
        </is>
      </c>
      <c r="H1237" s="664" t="n">
        <v>1112</v>
      </c>
      <c r="I1237" s="665" t="n">
        <v>2.69</v>
      </c>
      <c r="L1237" s="663" t="e">
        <v>#REF!</v>
      </c>
    </row>
    <row r="1238">
      <c r="B1238" s="678" t="n">
        <v>111444</v>
      </c>
      <c r="F1238" s="685" t="inlineStr">
        <is>
          <t>F ALENYA (X13A06) QUARTZ 16600</t>
        </is>
      </c>
      <c r="H1238" s="664" t="n">
        <v>1112</v>
      </c>
      <c r="I1238" s="665" t="n">
        <v>2.69</v>
      </c>
      <c r="L1238" s="663" t="e">
        <v>#REF!</v>
      </c>
    </row>
    <row r="1239">
      <c r="B1239" s="678" t="n">
        <v>111386</v>
      </c>
      <c r="F1239" s="685" t="inlineStr">
        <is>
          <t>F GUSTI (PN-615) DUSK (2)</t>
        </is>
      </c>
      <c r="H1239" s="664" t="n">
        <v>1093</v>
      </c>
      <c r="I1239" s="665" t="n">
        <v>2.41</v>
      </c>
      <c r="L1239" s="663" t="e">
        <v>#REF!</v>
      </c>
    </row>
    <row r="1240">
      <c r="B1240" s="678" t="n">
        <v>100134</v>
      </c>
      <c r="F1240" s="685" t="inlineStr">
        <is>
          <t>BUTTON -#30 2.5  IN PRONG - 6</t>
        </is>
      </c>
      <c r="H1240" s="664" t="n">
        <v>1036</v>
      </c>
      <c r="L1240" s="663" t="e">
        <v>#REF!</v>
      </c>
    </row>
    <row r="1241">
      <c r="B1241" s="678" t="n">
        <v>100986</v>
      </c>
      <c r="F1241" s="685" t="inlineStr">
        <is>
          <t>BUTTON -14602(B)  2.5  IN PRONG</t>
        </is>
      </c>
      <c r="H1241" s="664" t="n">
        <v>1036</v>
      </c>
      <c r="L1241" s="663" t="e">
        <v>#REF!</v>
      </c>
    </row>
    <row r="1242">
      <c r="B1242" s="678" t="inlineStr">
        <is>
          <t>76582SLTH</t>
        </is>
      </c>
      <c r="F1242" s="685" t="inlineStr">
        <is>
          <t>22603 SOFA TBR WELT</t>
        </is>
      </c>
      <c r="H1242" s="664" t="n">
        <v>1113</v>
      </c>
      <c r="I1242" s="665" t="n">
        <v>2.29</v>
      </c>
      <c r="J1242" s="666" t="inlineStr">
        <is>
          <t>EA</t>
        </is>
      </c>
      <c r="L1242" s="663" t="e">
        <v>#REF!</v>
      </c>
    </row>
    <row r="1243">
      <c r="B1243" s="678" t="n">
        <v>900618</v>
      </c>
      <c r="F1243" s="685" t="inlineStr">
        <is>
          <t>EPE U CHANNEL 43 "</t>
        </is>
      </c>
      <c r="H1243" s="664" t="n">
        <v>1115</v>
      </c>
      <c r="I1243" s="665" t="n">
        <v>0.1398</v>
      </c>
      <c r="J1243" s="666" t="inlineStr">
        <is>
          <t>EA</t>
        </is>
      </c>
      <c r="L1243" s="663" t="e">
        <v>#REF!</v>
      </c>
    </row>
    <row r="1244">
      <c r="B1244" s="678" t="n">
        <v>900619</v>
      </c>
      <c r="F1244" s="685" t="inlineStr">
        <is>
          <t>EPE U CHANNEL 16 "</t>
        </is>
      </c>
      <c r="H1244" s="664" t="n">
        <v>1116</v>
      </c>
      <c r="I1244" s="665" t="n">
        <v>0.0559</v>
      </c>
      <c r="J1244" s="666" t="inlineStr">
        <is>
          <t>EA</t>
        </is>
      </c>
      <c r="L1244" s="663" t="e">
        <v>#REF!</v>
      </c>
    </row>
    <row r="1245">
      <c r="B1245" s="678" t="n">
        <v>111435</v>
      </c>
      <c r="F1245" s="675" t="inlineStr">
        <is>
          <t>TYPOGRAPHYACCENT MANGO16 XX</t>
        </is>
      </c>
      <c r="H1245" s="664" t="n">
        <v>1114</v>
      </c>
      <c r="I1245" s="665" t="n">
        <v>8.039999999999999</v>
      </c>
      <c r="L1245" s="663" t="e">
        <v>#REF!</v>
      </c>
    </row>
    <row r="1246">
      <c r="B1246" s="678" t="n">
        <v>111445</v>
      </c>
      <c r="F1246" s="675" t="inlineStr">
        <is>
          <t>F TEAHOUSEBLACK 16600</t>
        </is>
      </c>
      <c r="H1246" s="664" t="n">
        <v>1114</v>
      </c>
      <c r="I1246" s="665" t="n">
        <v>8.220000000000001</v>
      </c>
      <c r="L1246" s="663" t="e">
        <v>#REF!</v>
      </c>
    </row>
    <row r="1247">
      <c r="B1247" s="678" t="n">
        <v>111415</v>
      </c>
      <c r="F1247" s="685" t="inlineStr">
        <is>
          <t>F PARKINGTONBAY PLATINUM16202</t>
        </is>
      </c>
      <c r="H1247" s="664" t="n">
        <v>1002</v>
      </c>
      <c r="I1247" s="665" t="n">
        <v>4.14</v>
      </c>
      <c r="L1247" s="663" t="e">
        <v>#REF!</v>
      </c>
    </row>
    <row r="1248">
      <c r="B1248" s="678" t="n">
        <v>111467</v>
      </c>
      <c r="F1248" s="685" t="inlineStr">
        <is>
          <t>F CLIRY CARAMEL (KHAKI) 10400</t>
        </is>
      </c>
      <c r="H1248" s="664" t="n">
        <v>1117</v>
      </c>
      <c r="I1248" s="665" t="n">
        <v>3.08</v>
      </c>
      <c r="L1248" s="663" t="e">
        <v>#REF!</v>
      </c>
    </row>
    <row r="1249">
      <c r="B1249" s="678" t="n">
        <v>111325</v>
      </c>
      <c r="F1249" s="685" t="inlineStr">
        <is>
          <t>F MEDICI ONYX 30500</t>
        </is>
      </c>
      <c r="H1249" s="664" t="n">
        <v>1118</v>
      </c>
      <c r="I1249" s="665" t="n">
        <v>8.710000000000001</v>
      </c>
      <c r="L1249" s="663" t="e">
        <v>#REF!</v>
      </c>
    </row>
    <row r="1250">
      <c r="B1250" s="678" t="n">
        <v>111326</v>
      </c>
      <c r="F1250" s="685" t="inlineStr">
        <is>
          <t>F NALA EBONY 30500</t>
        </is>
      </c>
      <c r="H1250" s="664" t="n">
        <v>1002</v>
      </c>
      <c r="I1250" s="665" t="n">
        <v>7.6</v>
      </c>
      <c r="L1250" s="663" t="e">
        <v>#REF!</v>
      </c>
    </row>
    <row r="1251">
      <c r="B1251" s="678" t="n">
        <v>111327</v>
      </c>
      <c r="F1251" s="685" t="inlineStr">
        <is>
          <t>F VENICE ONYX 30500</t>
        </is>
      </c>
      <c r="H1251" s="664" t="n">
        <v>1002</v>
      </c>
      <c r="I1251" s="665" t="n">
        <v>4.57</v>
      </c>
      <c r="L1251" s="663" t="e">
        <v>#REF!</v>
      </c>
    </row>
    <row r="1252">
      <c r="B1252" s="678" t="n">
        <v>111341</v>
      </c>
      <c r="F1252" s="685" t="inlineStr">
        <is>
          <t>F ESTATEMINK 77503</t>
        </is>
      </c>
      <c r="H1252" s="664" t="n">
        <v>1002</v>
      </c>
      <c r="L1252" s="663" t="e">
        <v>#REF!</v>
      </c>
    </row>
    <row r="1253">
      <c r="B1253" s="678" t="inlineStr">
        <is>
          <t>76583SLTH</t>
        </is>
      </c>
      <c r="F1253" s="685" t="inlineStr">
        <is>
          <t>22603 LOVESEAT TBR WELT</t>
        </is>
      </c>
      <c r="H1253" s="664" t="n">
        <v>1119</v>
      </c>
      <c r="I1253" s="665" t="n">
        <v>1.8</v>
      </c>
      <c r="J1253" s="666" t="inlineStr">
        <is>
          <t>EA</t>
        </is>
      </c>
      <c r="L1253" s="663" t="e">
        <v>#REF!</v>
      </c>
    </row>
    <row r="1254">
      <c r="B1254" s="678" t="n">
        <v>101040</v>
      </c>
      <c r="F1254" s="685" t="inlineStr">
        <is>
          <t>JK ZIPPER CHAIN WITH SLIDE -5# -BEIGE -14"</t>
        </is>
      </c>
      <c r="H1254" s="664" t="n">
        <v>1109</v>
      </c>
      <c r="I1254" s="665" t="n">
        <v>0.123</v>
      </c>
      <c r="J1254" s="666" t="inlineStr">
        <is>
          <t>EA</t>
        </is>
      </c>
      <c r="L1254" s="663" t="e">
        <v>#REF!</v>
      </c>
    </row>
    <row r="1255">
      <c r="B1255" s="687" t="n">
        <v>111324</v>
      </c>
      <c r="F1255" s="675" t="inlineStr">
        <is>
          <t>F BRYCELYN PLATINUM</t>
        </is>
      </c>
      <c r="H1255" s="664" t="n">
        <v>1002</v>
      </c>
      <c r="I1255" s="665" t="n">
        <v>3.39</v>
      </c>
      <c r="L1255" s="663" t="e">
        <v>#REF!</v>
      </c>
    </row>
    <row r="1256">
      <c r="B1256" s="687" t="n">
        <v>111327</v>
      </c>
      <c r="F1256" s="675" t="inlineStr">
        <is>
          <t>F VENICE ONYX 30500</t>
        </is>
      </c>
      <c r="H1256" s="664" t="n">
        <v>1002</v>
      </c>
      <c r="I1256" s="665" t="n">
        <v>4.96</v>
      </c>
      <c r="L1256" s="663" t="e">
        <v>#REF!</v>
      </c>
    </row>
    <row r="1257">
      <c r="B1257" s="687" t="n">
        <v>111491</v>
      </c>
      <c r="F1257" s="675" t="inlineStr">
        <is>
          <t>F CORRIDON BURLAP3580</t>
        </is>
      </c>
      <c r="H1257" s="664" t="n">
        <v>1002</v>
      </c>
      <c r="I1257" s="665" t="n">
        <v>3.21</v>
      </c>
      <c r="L1257" s="663" t="e">
        <v>#REF!</v>
      </c>
    </row>
    <row r="1258">
      <c r="B1258" s="687" t="n">
        <v>111492</v>
      </c>
      <c r="F1258" s="675" t="inlineStr">
        <is>
          <t>F AZORESANTIQUE 35801</t>
        </is>
      </c>
      <c r="H1258" s="664" t="n">
        <v>1002</v>
      </c>
      <c r="I1258" s="665" t="n">
        <v>7.71</v>
      </c>
      <c r="L1258" s="663" t="e">
        <v>#REF!</v>
      </c>
    </row>
    <row r="1259">
      <c r="B1259" s="687" t="n">
        <v>111493</v>
      </c>
      <c r="F1259" s="675" t="inlineStr">
        <is>
          <t>F IRAANTIQUE 35801</t>
        </is>
      </c>
      <c r="H1259" s="664" t="n">
        <v>1002</v>
      </c>
      <c r="I1259" s="665" t="n">
        <v>5.21</v>
      </c>
      <c r="L1259" s="663" t="e">
        <v>#REF!</v>
      </c>
    </row>
    <row r="1260">
      <c r="B1260" s="687" t="n">
        <v>111512</v>
      </c>
      <c r="F1260" s="675" t="inlineStr">
        <is>
          <t>F WESLYNN PLACE BURGUNYD 84202</t>
        </is>
      </c>
      <c r="H1260" s="664" t="n">
        <v>1002</v>
      </c>
      <c r="I1260" s="665" t="n">
        <v>5.57</v>
      </c>
      <c r="L1260" s="663" t="e">
        <v>#REF!</v>
      </c>
    </row>
    <row r="1261">
      <c r="B1261" s="687" t="n">
        <v>111513</v>
      </c>
      <c r="F1261" s="675" t="inlineStr">
        <is>
          <t>F PERSIA GARNET 82402</t>
        </is>
      </c>
      <c r="H1261" s="664" t="n">
        <v>1002</v>
      </c>
      <c r="I1261" s="665" t="n">
        <v>11.14</v>
      </c>
      <c r="L1261" s="663" t="e">
        <v>#REF!</v>
      </c>
    </row>
    <row r="1262">
      <c r="B1262" s="687" t="n">
        <v>111514</v>
      </c>
      <c r="F1262" s="675" t="inlineStr">
        <is>
          <t xml:space="preserve">F LOFTWINE 82402 </t>
        </is>
      </c>
      <c r="H1262" s="664" t="n">
        <v>1002</v>
      </c>
      <c r="I1262" s="665" t="n">
        <v>5.71</v>
      </c>
      <c r="L1262" s="663" t="e">
        <v>#REF!</v>
      </c>
    </row>
    <row r="1263">
      <c r="B1263" s="687" t="n">
        <v>111446</v>
      </c>
      <c r="F1263" s="675" t="inlineStr">
        <is>
          <t>F CROFTONCHARCOAL 16600</t>
        </is>
      </c>
      <c r="H1263" s="664" t="n">
        <v>1114</v>
      </c>
      <c r="L1263" s="663" t="e">
        <v>#REF!</v>
      </c>
    </row>
    <row r="1264">
      <c r="B1264" s="678" t="n">
        <v>111479</v>
      </c>
      <c r="F1264" s="688" t="inlineStr">
        <is>
          <t xml:space="preserve"> F WESTSIDEEGRANITE 10200</t>
        </is>
      </c>
      <c r="H1264" s="664" t="n">
        <v>1002</v>
      </c>
      <c r="I1264" s="665" t="n">
        <v>4.92</v>
      </c>
      <c r="L1264" s="663" t="e">
        <v>#REF!</v>
      </c>
    </row>
    <row r="1265">
      <c r="B1265" s="678" t="n">
        <v>111490</v>
      </c>
      <c r="F1265" s="675" t="inlineStr">
        <is>
          <t>F LAUREL BLOODSTONE 35500</t>
        </is>
      </c>
      <c r="H1265" s="664" t="n">
        <v>1002</v>
      </c>
      <c r="I1265" s="665" t="n">
        <v>6.05</v>
      </c>
      <c r="L1265" s="663" t="e">
        <v>#REF!</v>
      </c>
    </row>
    <row r="1266">
      <c r="B1266" s="678" t="n">
        <v>111507</v>
      </c>
      <c r="F1266" s="675" t="inlineStr">
        <is>
          <t>F MAKONNENCHARCOAL 78000</t>
        </is>
      </c>
      <c r="H1266" s="664" t="n">
        <v>1125</v>
      </c>
      <c r="I1266" s="665" t="n">
        <v>3.23</v>
      </c>
      <c r="L1266" s="663" t="e">
        <v>#REF!</v>
      </c>
    </row>
    <row r="1267">
      <c r="B1267" s="678" t="n">
        <v>111515</v>
      </c>
      <c r="F1267" s="675" t="inlineStr">
        <is>
          <t>F GRACIE-ANNE (TROY) BARLEY 84201</t>
        </is>
      </c>
      <c r="H1267" s="664" t="n">
        <v>1002</v>
      </c>
      <c r="I1267" s="665" t="n">
        <v>3.43</v>
      </c>
      <c r="L1267" s="663" t="e">
        <v>#REF!</v>
      </c>
    </row>
    <row r="1268">
      <c r="B1268" s="678" t="n">
        <v>110338</v>
      </c>
      <c r="F1268" s="675" t="inlineStr">
        <is>
          <t>F TRI-TONE FAUX L BROWN Q145</t>
        </is>
      </c>
      <c r="H1268" s="664" t="n">
        <v>1002</v>
      </c>
      <c r="I1268" s="665" t="n">
        <v>3.31</v>
      </c>
      <c r="L1268" s="663" t="e">
        <v>#REF!</v>
      </c>
    </row>
    <row r="1269">
      <c r="B1269" s="678" t="n">
        <v>110383</v>
      </c>
      <c r="F1269" s="675" t="inlineStr">
        <is>
          <t>F BRADINGTONTRUFFLE 15400/270</t>
        </is>
      </c>
      <c r="H1269" s="664" t="n">
        <v>1126</v>
      </c>
      <c r="I1269" s="665" t="n">
        <v>5.94</v>
      </c>
      <c r="L1269" s="663" t="e">
        <v>#REF!</v>
      </c>
    </row>
    <row r="1270">
      <c r="B1270" s="678" t="n">
        <v>111359</v>
      </c>
      <c r="F1270" s="675" t="inlineStr">
        <is>
          <t>F LORIC (LOLA)SMOKE12700</t>
        </is>
      </c>
      <c r="H1270" s="664" t="n">
        <v>1002</v>
      </c>
      <c r="I1270" s="665" t="n">
        <v>3.08</v>
      </c>
      <c r="L1270" s="663" t="e">
        <v>#REF!</v>
      </c>
    </row>
    <row r="1271">
      <c r="B1271" s="678" t="n">
        <v>111360</v>
      </c>
      <c r="F1271" s="675" t="inlineStr">
        <is>
          <t>F LUGARNOSMOKE12700</t>
        </is>
      </c>
      <c r="H1271" s="664" t="n">
        <v>1127</v>
      </c>
      <c r="I1271" s="665" t="n">
        <v>7.62</v>
      </c>
      <c r="L1271" s="663" t="e">
        <v>#REF!</v>
      </c>
    </row>
    <row r="1272">
      <c r="B1272" s="678" t="n">
        <v>111361</v>
      </c>
      <c r="F1272" s="675" t="inlineStr">
        <is>
          <t>F PATOLAPARK PATINA12900</t>
        </is>
      </c>
      <c r="H1272" s="664" t="n">
        <v>1002</v>
      </c>
      <c r="I1272" s="665" t="n">
        <v>3.32</v>
      </c>
      <c r="L1272" s="663" t="e">
        <v>#REF!</v>
      </c>
    </row>
    <row r="1273">
      <c r="B1273" s="678" t="n">
        <v>111362</v>
      </c>
      <c r="F1273" s="675" t="inlineStr">
        <is>
          <t>F BLUENIGHTSUNKISSED12900</t>
        </is>
      </c>
      <c r="H1273" s="664" t="n">
        <v>1002</v>
      </c>
      <c r="I1273" s="665" t="n">
        <v>6.88</v>
      </c>
      <c r="L1273" s="663" t="e">
        <v>#REF!</v>
      </c>
    </row>
    <row r="1274">
      <c r="B1274" s="678" t="n">
        <v>111385</v>
      </c>
      <c r="F1274" s="675" t="inlineStr">
        <is>
          <t>F SCHOONER GRAPHITE 39802</t>
        </is>
      </c>
      <c r="H1274" s="664" t="n">
        <v>1128</v>
      </c>
      <c r="I1274" s="665" t="n">
        <v>4.32</v>
      </c>
      <c r="L1274" s="663" t="e">
        <v>#REF!</v>
      </c>
    </row>
    <row r="1275">
      <c r="B1275" s="678" t="n">
        <v>111452</v>
      </c>
      <c r="F1275" s="675" t="inlineStr">
        <is>
          <t>F VERGANA(ASTROID)CHARCOAL3520</t>
        </is>
      </c>
      <c r="H1275" s="664" t="n">
        <v>1002</v>
      </c>
      <c r="I1275" s="665" t="n">
        <v>3.2</v>
      </c>
      <c r="L1275" s="663" t="e">
        <v>#REF!</v>
      </c>
    </row>
    <row r="1276">
      <c r="B1276" s="678" t="n">
        <v>111453</v>
      </c>
      <c r="F1276" s="675" t="inlineStr">
        <is>
          <t>F VERGANA MOCHA(MINK) 35203</t>
        </is>
      </c>
      <c r="H1276" s="664" t="n">
        <v>1002</v>
      </c>
      <c r="I1276" s="665" t="n">
        <v>3.2</v>
      </c>
      <c r="L1276" s="663" t="e">
        <v>#REF!</v>
      </c>
    </row>
    <row r="1277">
      <c r="B1277" s="678" t="n">
        <v>111494</v>
      </c>
      <c r="F1277" s="675" t="inlineStr">
        <is>
          <t>F LUCRETIA SAND(COCOA)36700</t>
        </is>
      </c>
      <c r="H1277" s="664" t="n">
        <v>1002</v>
      </c>
      <c r="I1277" s="665" t="n">
        <v>2.7</v>
      </c>
      <c r="L1277" s="663" t="e">
        <v>#REF!</v>
      </c>
    </row>
    <row r="1278">
      <c r="B1278" s="678" t="n">
        <v>111495</v>
      </c>
      <c r="F1278" s="675" t="inlineStr">
        <is>
          <t>F DIVERTRESURE 36700</t>
        </is>
      </c>
      <c r="H1278" s="664" t="n">
        <v>1002</v>
      </c>
      <c r="I1278" s="665" t="n">
        <v>2.66</v>
      </c>
      <c r="L1278" s="663" t="e">
        <v>#REF!</v>
      </c>
    </row>
    <row r="1279">
      <c r="B1279" s="678" t="n">
        <v>111496</v>
      </c>
      <c r="F1279" s="675" t="inlineStr">
        <is>
          <t>F JOULEPAPYA 36700</t>
        </is>
      </c>
      <c r="H1279" s="664" t="n">
        <v>1002</v>
      </c>
      <c r="I1279" s="665" t="n">
        <v>4.47</v>
      </c>
      <c r="L1279" s="663" t="e">
        <v>#REF!</v>
      </c>
    </row>
    <row r="1280">
      <c r="B1280" s="678" t="n">
        <v>111497</v>
      </c>
      <c r="F1280" s="675" t="inlineStr">
        <is>
          <t>F TATTLERPAPYA 36700</t>
        </is>
      </c>
      <c r="H1280" s="664" t="n">
        <v>1002</v>
      </c>
      <c r="I1280" s="665" t="n">
        <v>3.71</v>
      </c>
      <c r="L1280" s="663" t="e">
        <v>#REF!</v>
      </c>
    </row>
    <row r="1281">
      <c r="B1281" s="689" t="n">
        <v>111508</v>
      </c>
      <c r="F1281" s="690" t="inlineStr">
        <is>
          <t>F ALFRESCOWINTER 78000</t>
        </is>
      </c>
      <c r="H1281" s="664" t="n">
        <v>1002</v>
      </c>
      <c r="I1281" s="665" t="n">
        <v>4.62</v>
      </c>
      <c r="L1281" s="663" t="e">
        <v>#REF!</v>
      </c>
    </row>
    <row r="1282">
      <c r="B1282" s="689" t="n">
        <v>111509</v>
      </c>
      <c r="F1282" s="690" t="inlineStr">
        <is>
          <t>F LANAHAZE 78000</t>
        </is>
      </c>
      <c r="H1282" s="664" t="n">
        <v>1002</v>
      </c>
      <c r="I1282" s="665" t="n">
        <v>4.84</v>
      </c>
      <c r="L1282" s="663" t="e">
        <v>#REF!</v>
      </c>
    </row>
    <row r="1283">
      <c r="B1283" s="678" t="n">
        <v>111516</v>
      </c>
      <c r="F1283" s="675" t="inlineStr">
        <is>
          <t>F ELIZABETHCHOCOLATE 84201</t>
        </is>
      </c>
      <c r="H1283" s="664" t="n">
        <v>1117</v>
      </c>
      <c r="I1283" s="665" t="n">
        <v>2.93</v>
      </c>
      <c r="L1283" s="663" t="e">
        <v>#REF!</v>
      </c>
    </row>
    <row r="1284">
      <c r="B1284" s="678" t="n">
        <v>111517</v>
      </c>
      <c r="F1284" s="675" t="inlineStr">
        <is>
          <t>F WINGATECAPPUCCINO 84201</t>
        </is>
      </c>
      <c r="H1284" s="664" t="n">
        <v>1042</v>
      </c>
      <c r="I1284" s="665" t="n">
        <v>6.5</v>
      </c>
      <c r="L1284" s="663" t="e">
        <v>#REF!</v>
      </c>
    </row>
    <row r="1285">
      <c r="B1285" s="678" t="n">
        <v>111501</v>
      </c>
      <c r="F1285" s="675" t="inlineStr">
        <is>
          <t>F LOVEBIRDALLSPICE 65904</t>
        </is>
      </c>
      <c r="H1285" s="664" t="n">
        <v>1002</v>
      </c>
      <c r="I1285" s="665" t="n">
        <v>5.01</v>
      </c>
      <c r="L1285" s="663" t="e">
        <v>#REF!</v>
      </c>
    </row>
    <row r="1286">
      <c r="B1286" s="678" t="n">
        <v>101072</v>
      </c>
      <c r="F1286" s="675" t="inlineStr">
        <is>
          <t>FRINGE CLARET MIX 82402</t>
        </is>
      </c>
      <c r="H1286" s="664" t="n">
        <v>1038</v>
      </c>
      <c r="I1286" s="665" t="n">
        <v>0.4933</v>
      </c>
      <c r="J1286" s="666" t="inlineStr">
        <is>
          <t>M</t>
        </is>
      </c>
      <c r="L1286" s="663" t="e">
        <v>#REF!</v>
      </c>
    </row>
    <row r="1287">
      <c r="B1287" s="678" t="n">
        <v>101073</v>
      </c>
      <c r="F1287" s="675" t="inlineStr">
        <is>
          <t>GIMP CLARET MIX 82402</t>
        </is>
      </c>
      <c r="H1287" s="664" t="n">
        <v>1038</v>
      </c>
      <c r="I1287" s="665" t="n">
        <v>0.1116</v>
      </c>
      <c r="J1287" s="666" t="inlineStr">
        <is>
          <t>M</t>
        </is>
      </c>
      <c r="L1287" s="663" t="e">
        <v>#REF!</v>
      </c>
    </row>
    <row r="1288">
      <c r="B1288" s="678" t="n">
        <v>101086</v>
      </c>
      <c r="F1288" s="675" t="inlineStr">
        <is>
          <t>BUTTON#30SHELL/J HOOK 82402(B)</t>
        </is>
      </c>
      <c r="H1288" s="664" t="n">
        <v>1036</v>
      </c>
      <c r="I1288" s="665" t="n">
        <v>0.0237</v>
      </c>
      <c r="J1288" s="666" t="inlineStr">
        <is>
          <t>EA</t>
        </is>
      </c>
      <c r="L1288" s="663" t="e">
        <v>#REF!</v>
      </c>
    </row>
    <row r="1289">
      <c r="B1289" s="678" t="n">
        <v>110369</v>
      </c>
      <c r="F1289" s="675" t="inlineStr">
        <is>
          <t>F PARKER(JX038)EXPRESSO89473</t>
        </is>
      </c>
      <c r="H1289" s="664" t="n">
        <v>1002</v>
      </c>
      <c r="I1289" s="665" t="n">
        <v>2.48</v>
      </c>
      <c r="L1289" s="663" t="e">
        <v>#REF!</v>
      </c>
    </row>
    <row r="1290">
      <c r="B1290" s="678" t="n">
        <v>110574</v>
      </c>
      <c r="F1290" s="675" t="inlineStr">
        <is>
          <t>F MAXDURAPLUSHMOCHA 51201</t>
        </is>
      </c>
      <c r="H1290" s="664" t="n">
        <v>1002</v>
      </c>
      <c r="I1290" s="665" t="n">
        <v>2.98</v>
      </c>
      <c r="L1290" s="663" t="e">
        <v>#REF!</v>
      </c>
    </row>
    <row r="1291">
      <c r="B1291" s="678" t="n">
        <v>111050</v>
      </c>
      <c r="F1291" s="675" t="inlineStr">
        <is>
          <t>F TAFTONJAVA79202</t>
        </is>
      </c>
      <c r="H1291" s="664" t="n">
        <v>1002</v>
      </c>
      <c r="I1291" s="665" t="n">
        <v>3.82</v>
      </c>
      <c r="L1291" s="663" t="e">
        <v>#REF!</v>
      </c>
    </row>
    <row r="1292">
      <c r="B1292" s="678" t="n">
        <v>111225</v>
      </c>
      <c r="F1292" s="675" t="inlineStr">
        <is>
          <t>F HOUNDSTOOTH HERB11901</t>
        </is>
      </c>
      <c r="H1292" s="664" t="n">
        <v>1002</v>
      </c>
      <c r="I1292" s="665" t="n">
        <v>7.6</v>
      </c>
      <c r="L1292" s="663" t="e">
        <v>#REF!</v>
      </c>
    </row>
    <row r="1293">
      <c r="B1293" s="678" t="n">
        <v>111264</v>
      </c>
      <c r="F1293" s="675" t="inlineStr">
        <is>
          <t>F FATOU SOLITUDEBARLEY 11901</t>
        </is>
      </c>
      <c r="H1293" s="664" t="n">
        <v>1002</v>
      </c>
      <c r="I1293" s="665" t="n">
        <v>4.07</v>
      </c>
      <c r="L1293" s="663" t="e">
        <v>#REF!</v>
      </c>
    </row>
    <row r="1294">
      <c r="B1294" s="678" t="n">
        <v>111344</v>
      </c>
      <c r="F1294" s="675" t="inlineStr">
        <is>
          <t>F CYBERSAFFRON 79700</t>
        </is>
      </c>
      <c r="H1294" s="664" t="n">
        <v>1071</v>
      </c>
      <c r="I1294" s="665" t="n">
        <v>7.18</v>
      </c>
      <c r="L1294" s="663" t="e">
        <v>#REF!</v>
      </c>
    </row>
    <row r="1295">
      <c r="B1295" s="678" t="n">
        <v>111345</v>
      </c>
      <c r="F1295" s="675" t="inlineStr">
        <is>
          <t>F BABETTEMIMOSA 79700</t>
        </is>
      </c>
      <c r="H1295" s="664" t="n">
        <v>1129</v>
      </c>
      <c r="I1295" s="665" t="n">
        <v>5.57</v>
      </c>
      <c r="L1295" s="663" t="e">
        <v>#REF!</v>
      </c>
    </row>
    <row r="1296">
      <c r="B1296" s="678" t="n">
        <v>111346</v>
      </c>
      <c r="F1296" s="675" t="inlineStr">
        <is>
          <t>F TREYLAN SMOKE 89400</t>
        </is>
      </c>
      <c r="H1296" s="664" t="n">
        <v>1002</v>
      </c>
      <c r="I1296" s="665" t="n">
        <v>3.48</v>
      </c>
      <c r="L1296" s="663" t="e">
        <v>#REF!</v>
      </c>
    </row>
    <row r="1297">
      <c r="B1297" s="678" t="n">
        <v>111347</v>
      </c>
      <c r="F1297" s="675" t="inlineStr">
        <is>
          <t>F GENETICCAVIAR 89400</t>
        </is>
      </c>
      <c r="H1297" s="664" t="n">
        <v>1002</v>
      </c>
      <c r="I1297" s="665" t="n">
        <v>6.05</v>
      </c>
      <c r="L1297" s="663" t="e">
        <v>#REF!</v>
      </c>
    </row>
    <row r="1298">
      <c r="B1298" s="678" t="n">
        <v>111373</v>
      </c>
      <c r="F1298" s="675" t="inlineStr">
        <is>
          <t>F KEEREEL SAND(KHAKI)38200</t>
        </is>
      </c>
      <c r="H1298" s="664" t="n">
        <v>1002</v>
      </c>
      <c r="I1298" s="665" t="n">
        <v>3.55</v>
      </c>
      <c r="L1298" s="663" t="e">
        <v>#REF!</v>
      </c>
    </row>
    <row r="1299">
      <c r="B1299" s="678" t="n">
        <v>111374</v>
      </c>
      <c r="F1299" s="675" t="inlineStr">
        <is>
          <t>F TARAWOOD METAL38200</t>
        </is>
      </c>
      <c r="H1299" s="664" t="n">
        <v>1042</v>
      </c>
      <c r="I1299" s="665" t="n">
        <v>6.01</v>
      </c>
      <c r="L1299" s="663" t="e">
        <v>#REF!</v>
      </c>
    </row>
    <row r="1300">
      <c r="B1300" s="678" t="n">
        <v>111375</v>
      </c>
      <c r="F1300" s="675" t="inlineStr">
        <is>
          <t>F JOPLINOAT38200</t>
        </is>
      </c>
      <c r="H1300" s="664" t="n">
        <v>1131</v>
      </c>
      <c r="I1300" s="665" t="n">
        <v>4.84</v>
      </c>
      <c r="L1300" s="663" t="e">
        <v>#REF!</v>
      </c>
    </row>
    <row r="1301">
      <c r="B1301" s="678" t="n">
        <v>111433</v>
      </c>
      <c r="F1301" s="675" t="inlineStr">
        <is>
          <t>F HOUNDOGCHARCOAL 10700</t>
        </is>
      </c>
      <c r="H1301" s="664" t="n">
        <v>1002</v>
      </c>
      <c r="I1301" s="665" t="n">
        <v>6.59</v>
      </c>
      <c r="L1301" s="663" t="e">
        <v>#REF!</v>
      </c>
    </row>
    <row r="1302">
      <c r="B1302" s="678" t="n">
        <v>111434</v>
      </c>
      <c r="F1302" s="675" t="inlineStr">
        <is>
          <t>F ELIZABETHASH 10700</t>
        </is>
      </c>
      <c r="H1302" s="664" t="n">
        <v>1117</v>
      </c>
      <c r="I1302" s="665" t="n">
        <v>2.93</v>
      </c>
      <c r="L1302" s="663" t="e">
        <v>#REF!</v>
      </c>
    </row>
    <row r="1303">
      <c r="B1303" s="678" t="n">
        <v>111447</v>
      </c>
      <c r="F1303" s="675" t="inlineStr">
        <is>
          <t>F HINDELLPARK PUTTY 16804</t>
        </is>
      </c>
      <c r="H1303" s="664" t="n">
        <v>1002</v>
      </c>
      <c r="I1303" s="665" t="n">
        <v>3.54</v>
      </c>
      <c r="L1303" s="663" t="e">
        <v>#REF!</v>
      </c>
    </row>
    <row r="1304">
      <c r="B1304" s="678" t="n">
        <v>111448</v>
      </c>
      <c r="F1304" s="675" t="inlineStr">
        <is>
          <t>F MERITAGECITRON 16804</t>
        </is>
      </c>
      <c r="H1304" s="664" t="n">
        <v>1132</v>
      </c>
      <c r="I1304" s="665" t="n">
        <v>6.25</v>
      </c>
      <c r="L1304" s="663" t="e">
        <v>#REF!</v>
      </c>
    </row>
    <row r="1305">
      <c r="B1305" s="678" t="n">
        <v>111454</v>
      </c>
      <c r="F1305" s="675" t="inlineStr">
        <is>
          <t>F ZINNIADESERT 50100</t>
        </is>
      </c>
      <c r="H1305" s="664" t="n">
        <v>1002</v>
      </c>
      <c r="I1305" s="665" t="n">
        <v>7.78</v>
      </c>
      <c r="L1305" s="663" t="e">
        <v>#REF!</v>
      </c>
    </row>
    <row r="1306">
      <c r="B1306" s="678" t="n">
        <v>111457</v>
      </c>
      <c r="F1306" s="675" t="inlineStr">
        <is>
          <t>F MENA(TESS)GRAPHITEBARK 89301</t>
        </is>
      </c>
      <c r="H1306" s="664" t="n">
        <v>1002</v>
      </c>
      <c r="I1306" s="665" t="n">
        <v>3.36</v>
      </c>
      <c r="L1306" s="663" t="e">
        <v>#REF!</v>
      </c>
    </row>
    <row r="1307">
      <c r="B1307" s="678" t="n">
        <v>111458</v>
      </c>
      <c r="F1307" s="675" t="inlineStr">
        <is>
          <t>F JEMMACASHMERE 89301</t>
        </is>
      </c>
      <c r="H1307" s="664" t="n">
        <v>1133</v>
      </c>
      <c r="I1307" s="665" t="n">
        <v>7.78</v>
      </c>
      <c r="L1307" s="663" t="e">
        <v>#REF!</v>
      </c>
    </row>
    <row r="1308">
      <c r="B1308" s="678" t="n">
        <v>111459</v>
      </c>
      <c r="F1308" s="675" t="inlineStr">
        <is>
          <t>F SWAGGERTAUPE 89301</t>
        </is>
      </c>
      <c r="H1308" s="664" t="n">
        <v>1002</v>
      </c>
      <c r="I1308" s="665" t="n">
        <v>4.86</v>
      </c>
      <c r="L1308" s="663" t="e">
        <v>#REF!</v>
      </c>
    </row>
    <row r="1309">
      <c r="B1309" s="678" t="n">
        <v>111462</v>
      </c>
      <c r="F1309" s="675" t="inlineStr">
        <is>
          <t>F SHOSHANA MINERAL 61002</t>
        </is>
      </c>
      <c r="H1309" s="664" t="n">
        <v>1134</v>
      </c>
      <c r="I1309" s="665" t="n">
        <v>3.9</v>
      </c>
      <c r="L1309" s="663" t="e">
        <v>#REF!</v>
      </c>
    </row>
    <row r="1310">
      <c r="B1310" s="678" t="n">
        <v>111463</v>
      </c>
      <c r="F1310" s="675" t="inlineStr">
        <is>
          <t>F EOSTRANQUIL 61002</t>
        </is>
      </c>
      <c r="H1310" s="664" t="n">
        <v>1135</v>
      </c>
      <c r="I1310" s="665" t="n">
        <v>5.58</v>
      </c>
      <c r="L1310" s="663" t="e">
        <v>#REF!</v>
      </c>
    </row>
    <row r="1311">
      <c r="B1311" s="678" t="n">
        <v>111464</v>
      </c>
      <c r="F1311" s="675" t="inlineStr">
        <is>
          <t>F CITY SLICKERPATINA 61002</t>
        </is>
      </c>
      <c r="H1311" s="664" t="n">
        <v>1112</v>
      </c>
      <c r="I1311" s="665" t="n">
        <v>7.99</v>
      </c>
      <c r="L1311" s="663" t="e">
        <v>#REF!</v>
      </c>
    </row>
    <row r="1312">
      <c r="B1312" s="678" t="n">
        <v>111465</v>
      </c>
      <c r="F1312" s="675" t="inlineStr">
        <is>
          <t>F AURITAAQUAMARINE 61002</t>
        </is>
      </c>
      <c r="H1312" s="664" t="n">
        <v>1136</v>
      </c>
      <c r="I1312" s="665" t="n">
        <v>9.470000000000001</v>
      </c>
      <c r="L1312" s="663" t="e">
        <v>#REF!</v>
      </c>
    </row>
    <row r="1313">
      <c r="B1313" s="678" t="n">
        <v>111468</v>
      </c>
      <c r="F1313" s="675" t="inlineStr">
        <is>
          <t>F ZIG ZAG (M9375)EBONY 10400</t>
        </is>
      </c>
      <c r="H1313" s="664" t="n">
        <v>1137</v>
      </c>
      <c r="I1313" s="665" t="n">
        <v>6.24</v>
      </c>
      <c r="L1313" s="663" t="e">
        <v>#REF!</v>
      </c>
    </row>
    <row r="1314">
      <c r="B1314" s="678" t="n">
        <v>111469</v>
      </c>
      <c r="F1314" s="675" t="inlineStr">
        <is>
          <t>F DINELLI CHARCOAL  31200</t>
        </is>
      </c>
      <c r="H1314" s="664" t="n">
        <v>1134</v>
      </c>
      <c r="I1314" s="665" t="n">
        <v>3.9</v>
      </c>
      <c r="L1314" s="663" t="e">
        <v>#REF!</v>
      </c>
    </row>
    <row r="1315">
      <c r="B1315" s="678" t="n">
        <v>111470</v>
      </c>
      <c r="F1315" s="675" t="inlineStr">
        <is>
          <t>F BADINAGEMULBERRY 31200</t>
        </is>
      </c>
      <c r="H1315" s="664" t="n">
        <v>1138</v>
      </c>
      <c r="I1315" s="665" t="n">
        <v>6.31</v>
      </c>
      <c r="L1315" s="663" t="e">
        <v>#REF!</v>
      </c>
    </row>
    <row r="1316">
      <c r="B1316" s="678" t="n">
        <v>111471</v>
      </c>
      <c r="F1316" s="675" t="inlineStr">
        <is>
          <t>F SASHACRIMSON 31200</t>
        </is>
      </c>
      <c r="H1316" s="664" t="n">
        <v>1130</v>
      </c>
      <c r="I1316" s="665" t="n">
        <v>11.05</v>
      </c>
      <c r="L1316" s="663" t="e">
        <v>#REF!</v>
      </c>
    </row>
    <row r="1317">
      <c r="B1317" s="678" t="n">
        <v>111472</v>
      </c>
      <c r="F1317" s="675" t="inlineStr">
        <is>
          <t>F ZUMA DESERT 50100</t>
        </is>
      </c>
      <c r="H1317" s="664" t="n">
        <v>1002</v>
      </c>
      <c r="I1317" s="665" t="n">
        <v>8.17</v>
      </c>
      <c r="L1317" s="663" t="e">
        <v>#REF!</v>
      </c>
    </row>
    <row r="1318">
      <c r="B1318" s="678" t="n">
        <v>111473</v>
      </c>
      <c r="F1318" s="675" t="inlineStr">
        <is>
          <t>F SUSSEX TANGERING 62200</t>
        </is>
      </c>
      <c r="H1318" s="664" t="n">
        <v>1080</v>
      </c>
      <c r="I1318" s="665" t="n">
        <v>6.8</v>
      </c>
      <c r="L1318" s="663" t="e">
        <v>#REF!</v>
      </c>
    </row>
    <row r="1319">
      <c r="B1319" s="678" t="n">
        <v>111475</v>
      </c>
      <c r="F1319" s="675" t="inlineStr">
        <is>
          <t>F RAMBLEWOOD ADOBE 62200</t>
        </is>
      </c>
      <c r="H1319" s="664" t="n">
        <v>1002</v>
      </c>
      <c r="I1319" s="665" t="n">
        <v>4.07</v>
      </c>
      <c r="L1319" s="663" t="e">
        <v>#REF!</v>
      </c>
    </row>
    <row r="1320">
      <c r="B1320" s="678" t="n">
        <v>111481</v>
      </c>
      <c r="F1320" s="675" t="inlineStr">
        <is>
          <t>F PRANIT (M9448)WALNUT 16100</t>
        </is>
      </c>
      <c r="H1320" s="664" t="n">
        <v>1002</v>
      </c>
      <c r="I1320" s="665" t="n">
        <v>3.08</v>
      </c>
      <c r="L1320" s="663" t="e">
        <v>#REF!</v>
      </c>
    </row>
    <row r="1321">
      <c r="B1321" s="678" t="n">
        <v>111483</v>
      </c>
      <c r="F1321" s="675" t="inlineStr">
        <is>
          <t>F RAULO (JACK)CHOCOLATE 17500</t>
        </is>
      </c>
      <c r="H1321" s="664" t="n">
        <v>1002</v>
      </c>
      <c r="I1321" s="665" t="n">
        <v>2.73</v>
      </c>
      <c r="L1321" s="663" t="e">
        <v>#REF!</v>
      </c>
    </row>
    <row r="1322">
      <c r="B1322" s="678" t="n">
        <v>111484</v>
      </c>
      <c r="F1322" s="675" t="inlineStr">
        <is>
          <t>F RAULOMOCHA(BROWNSUGAR) 17501</t>
        </is>
      </c>
      <c r="H1322" s="664" t="n">
        <v>1002</v>
      </c>
      <c r="I1322" s="665" t="n">
        <v>2.73</v>
      </c>
      <c r="L1322" s="663" t="e">
        <v>#REF!</v>
      </c>
    </row>
    <row r="1323">
      <c r="B1323" s="678" t="n">
        <v>111505</v>
      </c>
      <c r="F1323" s="675" t="inlineStr">
        <is>
          <t>F MACNEILL UMBER 75802</t>
        </is>
      </c>
      <c r="H1323" s="664" t="n">
        <v>1002</v>
      </c>
      <c r="I1323" s="665" t="n">
        <v>4.4</v>
      </c>
      <c r="L1323" s="663" t="e">
        <v>#REF!</v>
      </c>
    </row>
    <row r="1324">
      <c r="B1324" s="678" t="n">
        <v>111506</v>
      </c>
      <c r="F1324" s="675" t="inlineStr">
        <is>
          <t>F NELL (DEAN)BEAUJOLAIS 75802</t>
        </is>
      </c>
      <c r="H1324" s="664" t="n">
        <v>1002</v>
      </c>
      <c r="I1324" s="665" t="n">
        <v>4.6</v>
      </c>
      <c r="L1324" s="663" t="e">
        <v>#REF!</v>
      </c>
    </row>
    <row r="1325">
      <c r="B1325" s="678" t="n">
        <v>180246</v>
      </c>
      <c r="F1325" s="675" t="inlineStr">
        <is>
          <t>F DURAHIDEBICASTBROWN194/58501</t>
        </is>
      </c>
      <c r="H1325" s="664" t="n">
        <v>1035</v>
      </c>
      <c r="I1325" s="665" t="n">
        <v>2.2</v>
      </c>
      <c r="L1325" s="663" t="e">
        <v>#REF!</v>
      </c>
    </row>
    <row r="1326">
      <c r="B1326" s="678" t="n">
        <v>180248</v>
      </c>
      <c r="F1326" s="675" t="inlineStr">
        <is>
          <t>V PU(AW98-53922) UMBER 75802</t>
        </is>
      </c>
      <c r="H1326" s="664" t="n">
        <v>1035</v>
      </c>
      <c r="I1326" s="665" t="n">
        <v>4</v>
      </c>
      <c r="L1326" s="663" t="e">
        <v>#REF!</v>
      </c>
    </row>
    <row r="1327">
      <c r="B1327" s="678" t="n">
        <v>180251</v>
      </c>
      <c r="F1327" s="675" t="inlineStr">
        <is>
          <t>F DURABLEND GREY 21404</t>
        </is>
      </c>
      <c r="H1327" s="664" t="n">
        <v>1035</v>
      </c>
      <c r="I1327" s="665" t="n">
        <v>5.44</v>
      </c>
      <c r="L1327" s="663" t="e">
        <v>#REF!</v>
      </c>
    </row>
    <row r="1328">
      <c r="B1328" s="678" t="n">
        <v>180252</v>
      </c>
      <c r="F1328" s="675" t="inlineStr">
        <is>
          <t>V VINYL(DTP327-9M)GREY 21404</t>
        </is>
      </c>
      <c r="H1328" s="664" t="n">
        <v>1035</v>
      </c>
      <c r="I1328" s="665" t="n">
        <v>4.15</v>
      </c>
      <c r="L1328" s="663" t="e">
        <v>#REF!</v>
      </c>
    </row>
    <row r="1329">
      <c r="B1329" s="678" t="n">
        <v>180260</v>
      </c>
      <c r="F1329" s="675" t="inlineStr">
        <is>
          <t>F DURABLEND ESPRESSO 21400</t>
        </is>
      </c>
      <c r="H1329" s="664" t="n">
        <v>1035</v>
      </c>
      <c r="I1329" s="665" t="n">
        <v>5.44</v>
      </c>
      <c r="L1329" s="663" t="e">
        <v>#REF!</v>
      </c>
    </row>
    <row r="1330">
      <c r="B1330" s="678" t="n">
        <v>180261</v>
      </c>
      <c r="F1330" s="675" t="inlineStr">
        <is>
          <t>V VINYL(DTP-327-5)ESPRESSO 21400</t>
        </is>
      </c>
      <c r="H1330" s="664" t="n">
        <v>1035</v>
      </c>
      <c r="I1330" s="665" t="n">
        <v>4.15</v>
      </c>
      <c r="L1330" s="663" t="e">
        <v>#REF!</v>
      </c>
    </row>
    <row r="1331">
      <c r="B1331" s="691" t="n">
        <v>111077</v>
      </c>
      <c r="F1331" s="675" t="inlineStr">
        <is>
          <t xml:space="preserve"> F LAKEN MOCHA 70704</t>
        </is>
      </c>
      <c r="H1331" s="664" t="n">
        <v>1002</v>
      </c>
      <c r="I1331" s="665" t="n">
        <v>2.52</v>
      </c>
      <c r="L1331" s="663" t="e">
        <v>#REF!</v>
      </c>
    </row>
    <row r="1332">
      <c r="B1332" s="691" t="n">
        <v>111078</v>
      </c>
      <c r="F1332" s="675" t="inlineStr">
        <is>
          <t xml:space="preserve"> F LAKEN CHOCOLATE 70704</t>
        </is>
      </c>
      <c r="H1332" s="664" t="n">
        <v>1002</v>
      </c>
      <c r="I1332" s="665" t="n">
        <v>2.52</v>
      </c>
      <c r="L1332" s="663" t="e">
        <v>#REF!</v>
      </c>
    </row>
    <row r="1333">
      <c r="B1333" s="678" t="n">
        <v>111500</v>
      </c>
      <c r="F1333" s="675" t="inlineStr">
        <is>
          <t>F DEANDRE (PE500) JAVA (8)</t>
        </is>
      </c>
      <c r="H1333" s="664" t="n">
        <v>1002</v>
      </c>
      <c r="I1333" s="665" t="n">
        <v>2.89</v>
      </c>
      <c r="L1333" s="663" t="e">
        <v>#REF!</v>
      </c>
    </row>
    <row r="1334">
      <c r="B1334" s="678" t="n">
        <v>180249</v>
      </c>
      <c r="F1334" s="675" t="inlineStr">
        <is>
          <t>F TIVONA DURABLEND BROWN 91003</t>
        </is>
      </c>
      <c r="H1334" s="664" t="n">
        <v>1006</v>
      </c>
      <c r="I1334" s="665" t="n">
        <v>4.75</v>
      </c>
      <c r="L1334" s="663" t="e">
        <v>#REF!</v>
      </c>
    </row>
    <row r="1335">
      <c r="B1335" s="678" t="n">
        <v>100309</v>
      </c>
      <c r="F1335" s="675" t="inlineStr">
        <is>
          <t>U-TYPAR 57 INCH X4.5OZ/SQYD</t>
        </is>
      </c>
      <c r="H1335" s="664" t="n">
        <v>1010</v>
      </c>
      <c r="I1335" s="665" t="n">
        <v>0.7085</v>
      </c>
      <c r="J1335" s="666" t="inlineStr">
        <is>
          <t>M</t>
        </is>
      </c>
      <c r="L1335" s="663" t="e">
        <v>#REF!</v>
      </c>
    </row>
    <row r="1336">
      <c r="B1336" s="678" t="n">
        <v>100096</v>
      </c>
      <c r="F1336" s="675" t="inlineStr">
        <is>
          <t>FRINGE ANTHONY 37200/Q082</t>
        </is>
      </c>
      <c r="H1336" s="664" t="n">
        <v>1038</v>
      </c>
      <c r="I1336" s="665" t="n">
        <v>0.4507</v>
      </c>
      <c r="J1336" s="666" t="inlineStr">
        <is>
          <t>M</t>
        </is>
      </c>
      <c r="L1336" s="663" t="e">
        <v>#REF!</v>
      </c>
    </row>
    <row r="1337">
      <c r="B1337" s="678" t="n">
        <v>100142</v>
      </c>
      <c r="F1337" s="675" t="inlineStr">
        <is>
          <t>GIMP Q082</t>
        </is>
      </c>
      <c r="H1337" s="664" t="n">
        <v>1038</v>
      </c>
      <c r="I1337" s="665" t="n">
        <v>0.1527</v>
      </c>
      <c r="J1337" s="666" t="inlineStr">
        <is>
          <t>M</t>
        </is>
      </c>
      <c r="L1337" s="663" t="e">
        <v>#REF!</v>
      </c>
    </row>
    <row r="1338">
      <c r="B1338" s="678" t="n">
        <v>111365</v>
      </c>
      <c r="F1338" s="675" t="inlineStr">
        <is>
          <t>F FRITZWALNUT14001</t>
        </is>
      </c>
      <c r="H1338" s="664" t="n">
        <v>1139</v>
      </c>
      <c r="I1338" s="665" t="n">
        <v>6.43</v>
      </c>
      <c r="L1338" s="663" t="e">
        <v>#REF!</v>
      </c>
    </row>
    <row r="1339">
      <c r="B1339" s="678" t="n">
        <v>111392</v>
      </c>
      <c r="F1339" s="675" t="inlineStr">
        <is>
          <t>F DEAUVILLE BLUEJAY 14001</t>
        </is>
      </c>
      <c r="H1339" s="664" t="n">
        <v>1140</v>
      </c>
      <c r="I1339" s="665" t="n">
        <v>7.2</v>
      </c>
      <c r="L1339" s="663" t="e">
        <v>#REF!</v>
      </c>
    </row>
    <row r="1340">
      <c r="B1340" s="678" t="n">
        <v>111432</v>
      </c>
      <c r="F1340" s="675" t="inlineStr">
        <is>
          <t>F DENHAMMERCURY(MINERAL) 10700</t>
        </is>
      </c>
      <c r="H1340" s="664" t="n">
        <v>1141</v>
      </c>
      <c r="I1340" s="665" t="n">
        <v>3.14</v>
      </c>
      <c r="L1340" s="663" t="e">
        <v>#REF!</v>
      </c>
    </row>
    <row r="1341">
      <c r="B1341" s="678" t="n">
        <v>180254</v>
      </c>
      <c r="F1341" s="675" t="inlineStr">
        <is>
          <t>V VINYL BARK 23300</t>
        </is>
      </c>
      <c r="H1341" s="664" t="n">
        <v>1035</v>
      </c>
      <c r="I1341" s="665" t="n">
        <v>4.39</v>
      </c>
      <c r="L1341" s="663" t="e">
        <v>#REF!</v>
      </c>
    </row>
    <row r="1342">
      <c r="B1342" s="678" t="n">
        <v>111363</v>
      </c>
      <c r="F1342" s="675" t="inlineStr">
        <is>
          <t>F DAVORA CARAMEL (CAMEL)14001</t>
        </is>
      </c>
      <c r="H1342" s="664" t="n">
        <v>1002</v>
      </c>
      <c r="I1342" s="665" t="n">
        <v>4.61</v>
      </c>
      <c r="L1342" s="663" t="e">
        <v>#REF!</v>
      </c>
    </row>
    <row r="1343">
      <c r="B1343" s="678" t="n">
        <v>180253</v>
      </c>
      <c r="F1343" s="675" t="inlineStr">
        <is>
          <t>F DURABLEND BARK 23300</t>
        </is>
      </c>
      <c r="H1343" s="664" t="n">
        <v>1035</v>
      </c>
      <c r="I1343" s="665" t="n">
        <v>6.16</v>
      </c>
      <c r="L1343" s="663" t="e">
        <v>#REF!</v>
      </c>
    </row>
    <row r="1344">
      <c r="B1344" s="678" t="n">
        <v>111480</v>
      </c>
      <c r="F1344" s="675" t="inlineStr">
        <is>
          <t>GARTHAY(PALANCE) SABLE 11500</t>
        </is>
      </c>
      <c r="H1344" s="664" t="n">
        <v>1002</v>
      </c>
      <c r="I1344" s="665" t="n">
        <v>4.52</v>
      </c>
      <c r="L1344" s="663" t="e">
        <v>#REF!</v>
      </c>
    </row>
    <row r="1345">
      <c r="B1345" s="678" t="n">
        <v>111343</v>
      </c>
      <c r="F1345" s="675" t="inlineStr">
        <is>
          <t>F HODANMARBLE (5) 79700</t>
        </is>
      </c>
      <c r="H1345" s="664" t="n">
        <v>1144</v>
      </c>
      <c r="I1345" s="665" t="n">
        <v>3.18</v>
      </c>
      <c r="L1345" s="663" t="e">
        <v>#REF!</v>
      </c>
    </row>
    <row r="1346">
      <c r="B1346" s="678" t="inlineStr">
        <is>
          <t>78319SLTH</t>
        </is>
      </c>
      <c r="F1346" s="675" t="inlineStr">
        <is>
          <t>231 SOFA WELT</t>
        </is>
      </c>
      <c r="H1346" s="664" t="n">
        <v>1142</v>
      </c>
      <c r="I1346" s="665" t="n">
        <v>1.54</v>
      </c>
      <c r="J1346" s="666" t="inlineStr">
        <is>
          <t>EA</t>
        </is>
      </c>
      <c r="L1346" s="663" t="e">
        <v>#REF!</v>
      </c>
    </row>
    <row r="1347">
      <c r="B1347" s="678" t="inlineStr">
        <is>
          <t>78320SLTH</t>
        </is>
      </c>
      <c r="F1347" s="675" t="inlineStr">
        <is>
          <t>231 LOVE WELT</t>
        </is>
      </c>
      <c r="H1347" s="664" t="n">
        <v>1143</v>
      </c>
      <c r="I1347" s="665" t="n">
        <v>0.86</v>
      </c>
      <c r="J1347" s="666" t="inlineStr">
        <is>
          <t>EA</t>
        </is>
      </c>
      <c r="L1347" s="663" t="e">
        <v>#REF!</v>
      </c>
    </row>
    <row r="1348">
      <c r="B1348" s="692" t="n">
        <v>101072</v>
      </c>
      <c r="F1348" s="693" t="inlineStr">
        <is>
          <t>FRINGE CLARET MIX 82402</t>
        </is>
      </c>
      <c r="H1348" s="664" t="n">
        <v>1038</v>
      </c>
      <c r="I1348" s="665" t="n">
        <v>0.4698</v>
      </c>
      <c r="J1348" s="666" t="inlineStr">
        <is>
          <t>M</t>
        </is>
      </c>
      <c r="L1348" s="663" t="e">
        <v>#REF!</v>
      </c>
    </row>
    <row r="1349">
      <c r="B1349" s="692" t="n">
        <v>101073</v>
      </c>
      <c r="F1349" s="693" t="inlineStr">
        <is>
          <t>GIMP CLARET MIX 82402</t>
        </is>
      </c>
      <c r="H1349" s="664" t="n">
        <v>1038</v>
      </c>
      <c r="I1349" s="665" t="n">
        <v>0.1063</v>
      </c>
      <c r="J1349" s="666" t="inlineStr">
        <is>
          <t>M</t>
        </is>
      </c>
      <c r="L1349" s="663" t="e">
        <v>#REF!</v>
      </c>
    </row>
    <row r="1350">
      <c r="B1350" s="692" t="n">
        <v>101074</v>
      </c>
      <c r="F1350" s="693" t="inlineStr">
        <is>
          <t>FRINGE CAPE GREY 84201</t>
        </is>
      </c>
      <c r="H1350" s="664" t="n">
        <v>1038</v>
      </c>
      <c r="I1350" s="665" t="n">
        <v>0.4962</v>
      </c>
      <c r="J1350" s="666" t="inlineStr">
        <is>
          <t>M</t>
        </is>
      </c>
      <c r="L1350" s="663" t="e">
        <v>#REF!</v>
      </c>
    </row>
    <row r="1351">
      <c r="B1351" s="692" t="n">
        <v>101086</v>
      </c>
      <c r="F1351" s="693" t="inlineStr">
        <is>
          <t>BUTTON#30SHELL/J HOOK 82</t>
        </is>
      </c>
      <c r="H1351" s="664" t="n">
        <v>1036</v>
      </c>
      <c r="I1351" s="665" t="n">
        <v>0.0188</v>
      </c>
      <c r="J1351" s="666" t="inlineStr">
        <is>
          <t>EA</t>
        </is>
      </c>
      <c r="L1351" s="663" t="e">
        <v>#REF!</v>
      </c>
    </row>
    <row r="1352">
      <c r="B1352" s="678" t="n">
        <v>180262</v>
      </c>
      <c r="F1352" s="675" t="inlineStr">
        <is>
          <t>F TONTO (PU) CANYON(6932)90502</t>
        </is>
      </c>
      <c r="H1352" s="664" t="n">
        <v>1035</v>
      </c>
      <c r="I1352" s="665" t="n">
        <v>2.8</v>
      </c>
      <c r="L1352" s="663" t="e">
        <v>#REF!</v>
      </c>
    </row>
    <row r="1353">
      <c r="B1353" s="678" t="n">
        <v>111081</v>
      </c>
      <c r="F1353" s="675" t="inlineStr">
        <is>
          <t xml:space="preserve"> F LAKENSAGE 70704</t>
        </is>
      </c>
      <c r="H1353" s="664" t="n">
        <v>1002</v>
      </c>
      <c r="I1353" s="665" t="n">
        <v>2.52</v>
      </c>
      <c r="L1353" s="663" t="e">
        <v>#REF!</v>
      </c>
    </row>
    <row r="1354">
      <c r="B1354" s="678" t="n">
        <v>101092</v>
      </c>
      <c r="F1354" s="675" t="inlineStr">
        <is>
          <t>BUTTON #30 2,5IN PRONG 82402 (B)</t>
        </is>
      </c>
      <c r="H1354" s="664" t="n">
        <v>1036</v>
      </c>
      <c r="I1354" s="665" t="n">
        <v>0.0352</v>
      </c>
      <c r="J1354" s="666" t="inlineStr">
        <is>
          <t>EA</t>
        </is>
      </c>
      <c r="L1354" s="663" t="e">
        <v>#REF!</v>
      </c>
    </row>
    <row r="1355">
      <c r="B1355" s="678" t="n">
        <v>180179</v>
      </c>
      <c r="F1355" s="694" t="inlineStr">
        <is>
          <t xml:space="preserve"> F LEVARDURABLEND SABLE 13501</t>
        </is>
      </c>
      <c r="H1355" s="664" t="n">
        <v>1035</v>
      </c>
      <c r="I1355" s="665" t="n">
        <v>4.44</v>
      </c>
      <c r="L1355" s="663" t="e">
        <v>#REF!</v>
      </c>
    </row>
    <row r="1356">
      <c r="B1356" s="678" t="n">
        <v>180180</v>
      </c>
      <c r="F1356" s="695" t="inlineStr">
        <is>
          <t xml:space="preserve"> F LEVAR VINYLSABLE(BROWN)13501</t>
        </is>
      </c>
      <c r="H1356" s="664" t="n">
        <v>1035</v>
      </c>
      <c r="I1356" s="665" t="n">
        <v>3.17</v>
      </c>
      <c r="L1356" s="663" t="e">
        <v>#REF!</v>
      </c>
    </row>
    <row r="1357">
      <c r="B1357" s="678" t="n">
        <v>111080</v>
      </c>
      <c r="F1357" s="85" t="inlineStr">
        <is>
          <t>F LAKENANTIQUE GOLD 70704</t>
        </is>
      </c>
      <c r="H1357" s="664" t="n">
        <v>1002</v>
      </c>
      <c r="I1357" s="665" t="n">
        <v>2.52</v>
      </c>
      <c r="L1357" s="663" t="e">
        <v>#REF!</v>
      </c>
    </row>
    <row r="1358">
      <c r="B1358" s="678" t="n">
        <v>100751</v>
      </c>
      <c r="F1358" s="675" t="inlineStr">
        <is>
          <t>FRINGE DARLING 75802</t>
        </is>
      </c>
      <c r="H1358" s="664" t="n">
        <v>1038</v>
      </c>
      <c r="I1358" s="665" t="n">
        <v>0.5226</v>
      </c>
      <c r="J1358" s="666" t="inlineStr">
        <is>
          <t>M</t>
        </is>
      </c>
      <c r="L1358" s="663" t="e">
        <v>#REF!</v>
      </c>
    </row>
    <row r="1359">
      <c r="B1359" s="678" t="n">
        <v>100873</v>
      </c>
      <c r="F1359" s="675" t="inlineStr">
        <is>
          <t>BUTTON #30 2.5IN PRONG U85600</t>
        </is>
      </c>
      <c r="H1359" s="664" t="n">
        <v>1036</v>
      </c>
      <c r="I1359" s="665" t="n">
        <v>0.0452</v>
      </c>
      <c r="J1359" s="666" t="inlineStr">
        <is>
          <t>EA</t>
        </is>
      </c>
      <c r="L1359" s="663" t="e">
        <v>#REF!</v>
      </c>
    </row>
    <row r="1360">
      <c r="B1360" s="678" t="n">
        <v>100951</v>
      </c>
      <c r="E1360" s="675" t="n">
        <v>101036</v>
      </c>
      <c r="F1360" s="675" t="inlineStr">
        <is>
          <t>TAPE MASKING PAPER WHITE W=2CM</t>
        </is>
      </c>
      <c r="I1360" s="665" t="n">
        <v>0.0104</v>
      </c>
      <c r="J1360" s="666" t="inlineStr">
        <is>
          <t>M</t>
        </is>
      </c>
      <c r="L1360" s="663" t="e">
        <v>#REF!</v>
      </c>
    </row>
    <row r="1361">
      <c r="B1361" s="678" t="n">
        <v>101033</v>
      </c>
      <c r="F1361" s="675" t="inlineStr">
        <is>
          <t>BUTTON # 60 SHELL/JHOOK 10700(A)</t>
        </is>
      </c>
      <c r="H1361" s="664" t="n">
        <v>1036</v>
      </c>
      <c r="I1361" s="665" t="n">
        <v>0.0764</v>
      </c>
      <c r="J1361" s="666" t="inlineStr">
        <is>
          <t>EA</t>
        </is>
      </c>
      <c r="L1361" s="663" t="e">
        <v>#REF!</v>
      </c>
    </row>
    <row r="1362">
      <c r="B1362" s="678" t="n">
        <v>101034</v>
      </c>
      <c r="F1362" s="675" t="inlineStr">
        <is>
          <t>BUTTON # 60 SHELL/JHOOK 10700(B)</t>
        </is>
      </c>
      <c r="H1362" s="664" t="n">
        <v>1036</v>
      </c>
      <c r="I1362" s="665" t="n">
        <v>0.09320000000000001</v>
      </c>
      <c r="J1362" s="666" t="inlineStr">
        <is>
          <t>EA</t>
        </is>
      </c>
      <c r="L1362" s="663" t="e">
        <v>#REF!</v>
      </c>
    </row>
    <row r="1363">
      <c r="B1363" s="678" t="n">
        <v>101035</v>
      </c>
      <c r="F1363" s="675" t="inlineStr">
        <is>
          <t>BUTTON # 60 SHELL/JHOOK 10700(C)</t>
        </is>
      </c>
      <c r="H1363" s="664" t="n">
        <v>1036</v>
      </c>
      <c r="I1363" s="665" t="n">
        <v>0.07340000000000001</v>
      </c>
      <c r="J1363" s="666" t="inlineStr">
        <is>
          <t>EA</t>
        </is>
      </c>
      <c r="L1363" s="663" t="e">
        <v>#REF!</v>
      </c>
    </row>
    <row r="1364">
      <c r="B1364" s="696" t="n">
        <v>180224</v>
      </c>
      <c r="F1364" s="675" t="inlineStr">
        <is>
          <t>V  DURABLEND(22603) BROWN 30605</t>
        </is>
      </c>
      <c r="H1364" s="664" t="n">
        <v>1035</v>
      </c>
      <c r="I1364" s="665" t="n">
        <v>5.62</v>
      </c>
      <c r="K1364" t="inlineStr">
        <is>
          <t>p006494</t>
        </is>
      </c>
      <c r="L1364" s="663" t="e">
        <v>#REF!</v>
      </c>
    </row>
    <row r="1365">
      <c r="B1365" s="696" t="n">
        <v>180225</v>
      </c>
      <c r="F1365" s="675" t="inlineStr">
        <is>
          <t xml:space="preserve">V VINYL(22603) BROWN 30605 </t>
        </is>
      </c>
      <c r="H1365" s="664" t="n">
        <v>1035</v>
      </c>
      <c r="I1365" s="665" t="n">
        <v>4.32</v>
      </c>
      <c r="K1365" t="inlineStr">
        <is>
          <t>p006494</t>
        </is>
      </c>
      <c r="L1365" s="663" t="e">
        <v>#REF!</v>
      </c>
    </row>
    <row r="1366">
      <c r="B1366" s="678" t="n">
        <v>100994</v>
      </c>
      <c r="F1366" s="675" t="inlineStr">
        <is>
          <t>FRINGE PASSIVE 38200</t>
        </is>
      </c>
      <c r="H1366" s="664" t="n">
        <v>1038</v>
      </c>
      <c r="I1366" s="665" t="n">
        <v>0.4551</v>
      </c>
      <c r="J1366" s="666" t="inlineStr">
        <is>
          <t>M</t>
        </is>
      </c>
      <c r="L1366" s="663" t="e">
        <v>#REF!</v>
      </c>
    </row>
    <row r="1367">
      <c r="B1367" s="678" t="n">
        <v>101036</v>
      </c>
      <c r="F1367" s="675" t="inlineStr">
        <is>
          <t xml:space="preserve">BUTTON#SHELL/ J HOOK </t>
        </is>
      </c>
      <c r="H1367" s="664" t="n">
        <v>1036</v>
      </c>
      <c r="I1367" s="665" t="n">
        <v>0.0259</v>
      </c>
      <c r="J1367" s="666" t="inlineStr">
        <is>
          <t>EA</t>
        </is>
      </c>
      <c r="L1367" s="663" t="e">
        <v>#REF!</v>
      </c>
    </row>
    <row r="1368">
      <c r="B1368" s="678" t="n">
        <v>101037</v>
      </c>
      <c r="F1368" s="675" t="inlineStr">
        <is>
          <t xml:space="preserve">BUTTON#SHELL/ J HOOK </t>
        </is>
      </c>
      <c r="H1368" s="664" t="n">
        <v>1036</v>
      </c>
      <c r="I1368" s="665" t="n">
        <v>0.027</v>
      </c>
      <c r="J1368" s="666" t="inlineStr">
        <is>
          <t>EA</t>
        </is>
      </c>
      <c r="L1368" s="663" t="e">
        <v>#REF!</v>
      </c>
    </row>
    <row r="1369">
      <c r="B1369" s="678" t="n">
        <v>73680</v>
      </c>
      <c r="F1369" s="675" t="inlineStr">
        <is>
          <t xml:space="preserve">PLASTIC WASHER </t>
        </is>
      </c>
      <c r="H1369" s="664" t="n">
        <v>1036</v>
      </c>
      <c r="I1369" s="665" t="n">
        <v>0.009599999999999999</v>
      </c>
      <c r="J1369" s="666" t="inlineStr">
        <is>
          <t>EA</t>
        </is>
      </c>
      <c r="L1369" s="663" t="e">
        <v>#REF!</v>
      </c>
    </row>
    <row r="1370">
      <c r="B1370" s="678" t="n">
        <v>180226</v>
      </c>
      <c r="F1370" s="675" t="inlineStr">
        <is>
          <t>V DURABLENDRUST 41001</t>
        </is>
      </c>
      <c r="H1370" s="664" t="n">
        <v>1035</v>
      </c>
      <c r="I1370" s="665" t="n">
        <v>4.93</v>
      </c>
      <c r="L1370" s="663" t="e">
        <v>#REF!</v>
      </c>
    </row>
    <row r="1371">
      <c r="B1371" s="678" t="n">
        <v>180256</v>
      </c>
      <c r="F1371" s="675" t="inlineStr">
        <is>
          <t>F MIKKEL COCOA 23400</t>
        </is>
      </c>
      <c r="H1371" s="664" t="n">
        <v>1035</v>
      </c>
      <c r="I1371" s="665" t="n">
        <v>6.06</v>
      </c>
      <c r="L1371" s="663" t="e">
        <v>#REF!</v>
      </c>
    </row>
    <row r="1372">
      <c r="B1372" s="678" t="n">
        <v>180257</v>
      </c>
      <c r="F1372" s="675" t="inlineStr">
        <is>
          <t>F MIKKEL-PU COCOA 23400</t>
        </is>
      </c>
      <c r="H1372" s="664" t="n">
        <v>1035</v>
      </c>
      <c r="I1372" s="665" t="n">
        <v>4.74</v>
      </c>
      <c r="L1372" s="663" t="e">
        <v>#REF!</v>
      </c>
    </row>
    <row r="1373">
      <c r="B1373" s="697" t="n">
        <v>111036</v>
      </c>
      <c r="F1373" s="693" t="inlineStr">
        <is>
          <t>F WILMINGTONWALNUT34602</t>
        </is>
      </c>
      <c r="H1373" s="664" t="n">
        <v>1044</v>
      </c>
      <c r="I1373" s="665" t="n">
        <v>5.11</v>
      </c>
      <c r="L1373" s="663" t="e">
        <v>#REF!</v>
      </c>
    </row>
    <row r="1374">
      <c r="B1374" s="697" t="n">
        <v>111037</v>
      </c>
      <c r="F1374" s="693" t="inlineStr">
        <is>
          <t>F CALLIE WALNUT34602</t>
        </is>
      </c>
      <c r="H1374" s="664" t="n">
        <v>1145</v>
      </c>
      <c r="I1374" s="665" t="n">
        <v>3.38</v>
      </c>
      <c r="L1374" s="663" t="e">
        <v>#REF!</v>
      </c>
    </row>
    <row r="1375">
      <c r="B1375" s="697" t="n">
        <v>111188</v>
      </c>
      <c r="F1375" s="693" t="inlineStr">
        <is>
          <t>F SHEFFIELD(P300)COCOA 98404</t>
        </is>
      </c>
      <c r="H1375" s="664" t="n">
        <v>1002</v>
      </c>
      <c r="I1375" s="665" t="n">
        <v>2.11</v>
      </c>
      <c r="L1375" s="663" t="e">
        <v>#REF!</v>
      </c>
    </row>
    <row r="1376">
      <c r="B1376" s="697" t="n">
        <v>111293</v>
      </c>
      <c r="F1376" s="693" t="inlineStr">
        <is>
          <t>F BARDEN(ZK12446B)UMBER 17200</t>
        </is>
      </c>
      <c r="H1376" s="664" t="n">
        <v>1002</v>
      </c>
      <c r="I1376" s="665" t="n">
        <v>3.22</v>
      </c>
      <c r="L1376" s="663" t="e">
        <v>#REF!</v>
      </c>
    </row>
    <row r="1377">
      <c r="B1377" s="697" t="n">
        <v>111292</v>
      </c>
      <c r="F1377" s="693" t="inlineStr">
        <is>
          <t>F KREELI LATE(CORNFLOWER)12403</t>
        </is>
      </c>
      <c r="H1377" s="664" t="n">
        <v>1002</v>
      </c>
      <c r="I1377" s="665" t="n">
        <v>2.34</v>
      </c>
      <c r="L1377" s="663" t="e">
        <v>#REF!</v>
      </c>
    </row>
    <row r="1378">
      <c r="B1378" s="697" t="n">
        <v>111416</v>
      </c>
      <c r="F1378" s="693" t="inlineStr">
        <is>
          <t>F MADETTE DOVE 16202</t>
        </is>
      </c>
      <c r="H1378" s="664" t="n">
        <v>1146</v>
      </c>
      <c r="I1378" s="665" t="n">
        <v>10.22</v>
      </c>
      <c r="L1378" s="663" t="e">
        <v>#REF!</v>
      </c>
    </row>
    <row r="1379">
      <c r="B1379" s="697" t="n">
        <v>111417</v>
      </c>
      <c r="F1379" s="693" t="inlineStr">
        <is>
          <t>F SABRINIACAPPUCINO 16202</t>
        </is>
      </c>
      <c r="H1379" s="664" t="n">
        <v>1147</v>
      </c>
      <c r="I1379" s="665" t="n">
        <v>3.82</v>
      </c>
      <c r="L1379" s="663" t="e">
        <v>#REF!</v>
      </c>
    </row>
    <row r="1380">
      <c r="B1380" s="697" t="n">
        <v>111419</v>
      </c>
      <c r="F1380" s="693" t="inlineStr">
        <is>
          <t>F TIVERTONSABLE 30605</t>
        </is>
      </c>
      <c r="H1380" s="664" t="n">
        <v>1002</v>
      </c>
      <c r="I1380" s="665" t="n">
        <v>8.92</v>
      </c>
      <c r="L1380" s="663" t="e">
        <v>#REF!</v>
      </c>
    </row>
    <row r="1381">
      <c r="B1381" s="697" t="n">
        <v>111423</v>
      </c>
      <c r="F1381" s="693" t="inlineStr">
        <is>
          <t>F GLYNALLEN TEAK 41001</t>
        </is>
      </c>
      <c r="H1381" s="664" t="n">
        <v>1002</v>
      </c>
      <c r="I1381" s="665" t="n">
        <v>4.65</v>
      </c>
      <c r="L1381" s="663" t="e">
        <v>#REF!</v>
      </c>
    </row>
    <row r="1382">
      <c r="B1382" s="697" t="n">
        <v>111424</v>
      </c>
      <c r="F1382" s="693" t="inlineStr">
        <is>
          <t>F GLOBAL-LEBONY 41001</t>
        </is>
      </c>
      <c r="H1382" s="664" t="n">
        <v>1148</v>
      </c>
      <c r="I1382" s="665" t="n">
        <v>10.06</v>
      </c>
      <c r="L1382" s="663" t="e">
        <v>#REF!</v>
      </c>
    </row>
    <row r="1383">
      <c r="B1383" s="697" t="n">
        <v>111425</v>
      </c>
      <c r="F1383" s="693" t="inlineStr">
        <is>
          <t>F TETONONYX 41001</t>
        </is>
      </c>
      <c r="H1383" s="664" t="n">
        <v>1140</v>
      </c>
      <c r="I1383" s="665" t="n">
        <v>6.51</v>
      </c>
      <c r="L1383" s="663" t="e">
        <v>#REF!</v>
      </c>
    </row>
    <row r="1384">
      <c r="B1384" s="697" t="n">
        <v>111426</v>
      </c>
      <c r="F1384" s="693" t="inlineStr">
        <is>
          <t>F HIKARINIGHT 41001</t>
        </is>
      </c>
      <c r="H1384" s="664" t="n">
        <v>1149</v>
      </c>
      <c r="I1384" s="665" t="n">
        <v>8.81</v>
      </c>
      <c r="L1384" s="663" t="e">
        <v>#REF!</v>
      </c>
    </row>
    <row r="1385">
      <c r="B1385" s="697" t="n">
        <v>111450</v>
      </c>
      <c r="F1385" s="693" t="inlineStr">
        <is>
          <t>F LARKINHURSTEARTH 31901</t>
        </is>
      </c>
      <c r="H1385" s="664" t="n">
        <v>1150</v>
      </c>
      <c r="I1385" s="665" t="n">
        <v>3.76</v>
      </c>
      <c r="L1385" s="663" t="e">
        <v>#REF!</v>
      </c>
    </row>
    <row r="1386">
      <c r="B1386" s="697" t="n">
        <v>111485</v>
      </c>
      <c r="F1386" s="693" t="inlineStr">
        <is>
          <t>F RAULO (JACK)MOSS 17502</t>
        </is>
      </c>
      <c r="H1386" s="664" t="n">
        <v>1002</v>
      </c>
      <c r="I1386" s="665" t="n">
        <v>2.73</v>
      </c>
      <c r="L1386" s="663" t="e">
        <v>#REF!</v>
      </c>
    </row>
    <row r="1387">
      <c r="B1387" s="697" t="n">
        <v>111486</v>
      </c>
      <c r="F1387" s="693" t="inlineStr">
        <is>
          <t>F RAULO(JACK)BURGUNDY 17503</t>
        </is>
      </c>
      <c r="H1387" s="664" t="n">
        <v>1002</v>
      </c>
      <c r="I1387" s="665" t="n">
        <v>2.73</v>
      </c>
      <c r="L1387" s="663" t="e">
        <v>#REF!</v>
      </c>
    </row>
    <row r="1388">
      <c r="B1388" s="697" t="n">
        <v>111487</v>
      </c>
      <c r="F1388" s="693" t="inlineStr">
        <is>
          <t>F LONGDON PLACE ESPRESSO 32901</t>
        </is>
      </c>
      <c r="H1388" s="664" t="n">
        <v>1002</v>
      </c>
      <c r="I1388" s="665" t="n">
        <v>3.76</v>
      </c>
      <c r="L1388" s="663" t="e">
        <v>#REF!</v>
      </c>
    </row>
    <row r="1389">
      <c r="B1389" s="697" t="n">
        <v>111488</v>
      </c>
      <c r="F1389" s="693" t="inlineStr">
        <is>
          <t>F TOULOUSETRUFFLE 32901</t>
        </is>
      </c>
      <c r="H1389" s="664" t="n">
        <v>1099</v>
      </c>
      <c r="I1389" s="665" t="n">
        <v>5.74</v>
      </c>
      <c r="L1389" s="663" t="e">
        <v>#REF!</v>
      </c>
    </row>
    <row r="1390">
      <c r="B1390" s="697" t="n">
        <v>111489</v>
      </c>
      <c r="F1390" s="693" t="inlineStr">
        <is>
          <t>F TAKACHOCOLATE 32901</t>
        </is>
      </c>
      <c r="H1390" s="664" t="n">
        <v>1151</v>
      </c>
      <c r="I1390" s="665" t="n">
        <v>12.23</v>
      </c>
      <c r="L1390" s="663" t="e">
        <v>#REF!</v>
      </c>
    </row>
    <row r="1391">
      <c r="B1391" s="697" t="n">
        <v>111511</v>
      </c>
      <c r="F1391" s="693" t="inlineStr">
        <is>
          <t>F TARYN ROUGE 79800</t>
        </is>
      </c>
      <c r="H1391" s="664" t="n">
        <v>1002</v>
      </c>
      <c r="I1391" s="665" t="n">
        <v>5.66</v>
      </c>
      <c r="L1391" s="663" t="e">
        <v>#REF!</v>
      </c>
    </row>
    <row r="1392">
      <c r="B1392" s="698" t="inlineStr">
        <is>
          <t>111535PL</t>
        </is>
      </c>
      <c r="F1392" s="693" t="inlineStr">
        <is>
          <t>F AUARIUSCURRANT 26900</t>
        </is>
      </c>
      <c r="H1392" s="664" t="n">
        <v>1002</v>
      </c>
      <c r="I1392" s="665" t="n">
        <v>6.28</v>
      </c>
      <c r="L1392" s="663" t="e">
        <v>#REF!</v>
      </c>
    </row>
    <row r="1393">
      <c r="B1393" s="697" t="n">
        <v>111482</v>
      </c>
      <c r="F1393" s="693" t="inlineStr">
        <is>
          <t>F PRANIT (M9448)CORK 16101</t>
        </is>
      </c>
      <c r="H1393" s="664" t="n">
        <v>1002</v>
      </c>
      <c r="I1393" s="665" t="n">
        <v>3.08</v>
      </c>
      <c r="L1393" s="663" t="e">
        <v>#REF!</v>
      </c>
    </row>
    <row r="1394">
      <c r="B1394" s="678" t="n">
        <v>100223</v>
      </c>
      <c r="F1394" s="675" t="inlineStr">
        <is>
          <t>GIMP-ALISTAIR 34602</t>
        </is>
      </c>
      <c r="H1394" s="664" t="n">
        <v>1038</v>
      </c>
      <c r="I1394" s="665" t="n">
        <v>0.11</v>
      </c>
      <c r="J1394" s="666" t="inlineStr">
        <is>
          <t>M</t>
        </is>
      </c>
      <c r="L1394" s="663" t="e">
        <v>#REF!</v>
      </c>
    </row>
    <row r="1395">
      <c r="B1395" s="678" t="n">
        <v>100742</v>
      </c>
      <c r="F1395" s="675" t="inlineStr">
        <is>
          <t>FRINGE NUT BROWN 34602</t>
        </is>
      </c>
      <c r="H1395" s="664" t="n">
        <v>1038</v>
      </c>
      <c r="I1395" s="665" t="n">
        <v>0.47</v>
      </c>
      <c r="J1395" s="666" t="inlineStr">
        <is>
          <t>M</t>
        </is>
      </c>
      <c r="L1395" s="663" t="e">
        <v>#REF!</v>
      </c>
    </row>
    <row r="1396">
      <c r="B1396" s="678" t="n">
        <v>101004</v>
      </c>
      <c r="F1396" s="675" t="inlineStr">
        <is>
          <t>FRINGE FLYNN 16202</t>
        </is>
      </c>
      <c r="H1396" s="664" t="n">
        <v>1038</v>
      </c>
      <c r="I1396" s="665" t="n">
        <v>0.51</v>
      </c>
      <c r="J1396" s="666" t="inlineStr">
        <is>
          <t>M</t>
        </is>
      </c>
      <c r="L1396" s="663" t="e">
        <v>#REF!</v>
      </c>
    </row>
    <row r="1397">
      <c r="B1397" s="678" t="n">
        <v>101005</v>
      </c>
      <c r="F1397" s="675" t="inlineStr">
        <is>
          <t>GIMP FLYNN 16202</t>
        </is>
      </c>
      <c r="H1397" s="664" t="n">
        <v>1038</v>
      </c>
      <c r="I1397" s="665" t="n">
        <v>0.11</v>
      </c>
      <c r="J1397" s="666" t="inlineStr">
        <is>
          <t>M</t>
        </is>
      </c>
      <c r="L1397" s="663" t="e">
        <v>#REF!</v>
      </c>
    </row>
    <row r="1398">
      <c r="B1398" s="678" t="n">
        <v>101006</v>
      </c>
      <c r="F1398" s="675" t="inlineStr">
        <is>
          <t>FRINGE CAJUN 41001</t>
        </is>
      </c>
      <c r="H1398" s="664" t="n">
        <v>1038</v>
      </c>
      <c r="I1398" s="665" t="n">
        <v>0.5600000000000001</v>
      </c>
      <c r="J1398" s="666" t="inlineStr">
        <is>
          <t>M</t>
        </is>
      </c>
      <c r="L1398" s="663" t="e">
        <v>#REF!</v>
      </c>
    </row>
    <row r="1399">
      <c r="B1399" s="678" t="n">
        <v>101008</v>
      </c>
      <c r="F1399" s="675" t="inlineStr">
        <is>
          <t>BUTTON#30 2.5IN PRONG 16202(A)</t>
        </is>
      </c>
      <c r="H1399" s="664" t="n">
        <v>1036</v>
      </c>
      <c r="I1399" s="665" t="n">
        <v>0.0391</v>
      </c>
      <c r="J1399" s="666" t="inlineStr">
        <is>
          <t>EA</t>
        </is>
      </c>
      <c r="K1399" t="inlineStr">
        <is>
          <t>P007012</t>
        </is>
      </c>
      <c r="L1399" s="663" t="e">
        <v>#REF!</v>
      </c>
    </row>
    <row r="1400">
      <c r="B1400" s="678" t="n">
        <v>101011</v>
      </c>
      <c r="F1400" s="675" t="inlineStr">
        <is>
          <t>BUTTON#30 2.5IN PRONG 30605(B)</t>
        </is>
      </c>
      <c r="H1400" s="664" t="n">
        <v>1036</v>
      </c>
      <c r="I1400" s="665" t="n">
        <v>0.0416</v>
      </c>
      <c r="J1400" s="666" t="inlineStr">
        <is>
          <t>EA</t>
        </is>
      </c>
      <c r="K1400" t="inlineStr">
        <is>
          <t>P007012</t>
        </is>
      </c>
      <c r="L1400" s="663" t="e">
        <v>#REF!</v>
      </c>
    </row>
    <row r="1401">
      <c r="B1401" s="678" t="n">
        <v>101019</v>
      </c>
      <c r="F1401" s="675" t="inlineStr">
        <is>
          <t>BUTTON-41001(PU)2.5IN PRONG</t>
        </is>
      </c>
      <c r="H1401" s="664" t="n">
        <v>1036</v>
      </c>
      <c r="I1401" s="665" t="n">
        <v>0.0404</v>
      </c>
      <c r="J1401" s="666" t="inlineStr">
        <is>
          <t>EA</t>
        </is>
      </c>
      <c r="K1401" t="inlineStr">
        <is>
          <t>P007012</t>
        </is>
      </c>
      <c r="L1401" s="663" t="e">
        <v>#REF!</v>
      </c>
    </row>
    <row r="1402">
      <c r="B1402" s="678" t="n">
        <v>101084</v>
      </c>
      <c r="F1402" s="675" t="inlineStr">
        <is>
          <t>BUTTON#30 2.5IN PRONG 32901(A)</t>
        </is>
      </c>
      <c r="H1402" s="664" t="n">
        <v>1036</v>
      </c>
      <c r="I1402" s="665" t="n">
        <v>0.0385</v>
      </c>
      <c r="J1402" s="666" t="inlineStr">
        <is>
          <t>EA</t>
        </is>
      </c>
      <c r="K1402" t="inlineStr">
        <is>
          <t>P007012</t>
        </is>
      </c>
      <c r="L1402" s="663" t="e">
        <v>#REF!</v>
      </c>
    </row>
    <row r="1403">
      <c r="B1403" s="697" t="n">
        <v>111524</v>
      </c>
      <c r="C1403" s="693" t="n"/>
      <c r="F1403" s="693" t="inlineStr">
        <is>
          <t>F MOOD PLUM 90702</t>
        </is>
      </c>
      <c r="H1403" s="664" t="n">
        <v>1002</v>
      </c>
      <c r="I1403" s="665" t="n">
        <v>7.71</v>
      </c>
      <c r="K1403" t="inlineStr">
        <is>
          <t>P006595</t>
        </is>
      </c>
      <c r="L1403" s="663" t="e">
        <v>#REF!</v>
      </c>
    </row>
    <row r="1404">
      <c r="B1404" s="697" t="n">
        <v>111534</v>
      </c>
      <c r="C1404" s="693" t="n"/>
      <c r="F1404" s="693" t="inlineStr">
        <is>
          <t>F BROGAIN (AMAZING)EBONY 26900</t>
        </is>
      </c>
      <c r="H1404" s="664" t="n">
        <v>1002</v>
      </c>
      <c r="I1404" s="665" t="n">
        <v>3.21</v>
      </c>
      <c r="K1404" t="inlineStr">
        <is>
          <t>P006595</t>
        </is>
      </c>
      <c r="L1404" s="663" t="e">
        <v>#REF!</v>
      </c>
    </row>
    <row r="1405">
      <c r="B1405" s="697" t="n">
        <v>111536</v>
      </c>
      <c r="C1405" s="693" t="n"/>
      <c r="F1405" s="693" t="inlineStr">
        <is>
          <t>F BROGAIN BURGUNDY(WINE) 26901</t>
        </is>
      </c>
      <c r="H1405" s="664" t="n">
        <v>1002</v>
      </c>
      <c r="I1405" s="665" t="n">
        <v>3.21</v>
      </c>
      <c r="K1405" t="inlineStr">
        <is>
          <t>P006595</t>
        </is>
      </c>
      <c r="L1405" s="663" t="e">
        <v>#REF!</v>
      </c>
    </row>
    <row r="1406">
      <c r="B1406" s="697" t="n">
        <v>111544</v>
      </c>
      <c r="C1406" s="693" t="n"/>
      <c r="F1406" s="693" t="inlineStr">
        <is>
          <t>F BROGAIN(AMAZING)WALNUT 26904</t>
        </is>
      </c>
      <c r="H1406" s="664" t="n">
        <v>1002</v>
      </c>
      <c r="I1406" s="665" t="n">
        <v>3.21</v>
      </c>
      <c r="K1406" t="inlineStr">
        <is>
          <t>P006595</t>
        </is>
      </c>
      <c r="L1406" s="663" t="e">
        <v>#REF!</v>
      </c>
    </row>
    <row r="1407">
      <c r="B1407" s="697" t="n">
        <v>180258</v>
      </c>
      <c r="C1407" s="693" t="n"/>
      <c r="F1407" s="693" t="inlineStr">
        <is>
          <t>F DURABLENDLOGGINS NEWRED21402</t>
        </is>
      </c>
      <c r="H1407" s="664" t="n">
        <v>1035</v>
      </c>
      <c r="I1407" s="665" t="n">
        <v>5.52</v>
      </c>
      <c r="K1407" t="inlineStr">
        <is>
          <t>P006595</t>
        </is>
      </c>
      <c r="L1407" s="663" t="e">
        <v>#REF!</v>
      </c>
    </row>
    <row r="1408">
      <c r="B1408" s="697" t="n">
        <v>180259</v>
      </c>
      <c r="C1408" s="693" t="n"/>
      <c r="F1408" s="693" t="inlineStr">
        <is>
          <t>V VINYL-PU(DTP-327-5)RED 21402</t>
        </is>
      </c>
      <c r="H1408" s="664" t="n">
        <v>1035</v>
      </c>
      <c r="I1408" s="665" t="n">
        <v>4.2</v>
      </c>
      <c r="K1408" t="inlineStr">
        <is>
          <t>P006595</t>
        </is>
      </c>
      <c r="L1408" s="663" t="e">
        <v>#REF!</v>
      </c>
    </row>
    <row r="1409">
      <c r="B1409" s="697" t="n">
        <v>180265</v>
      </c>
      <c r="C1409" s="693" t="n"/>
      <c r="F1409" s="693" t="inlineStr">
        <is>
          <t>V LINEBACKER PU 95202</t>
        </is>
      </c>
      <c r="H1409" s="664" t="n">
        <v>1035</v>
      </c>
      <c r="I1409" s="665" t="n">
        <v>2.8</v>
      </c>
      <c r="K1409" t="inlineStr">
        <is>
          <t>P006595</t>
        </is>
      </c>
      <c r="L1409" s="663" t="e">
        <v>#REF!</v>
      </c>
    </row>
    <row r="1410">
      <c r="B1410" s="684" t="n">
        <v>111510</v>
      </c>
      <c r="F1410" s="699" t="inlineStr">
        <is>
          <t>F COWAN(PN615)OATMEAL(3) 79800</t>
        </is>
      </c>
      <c r="H1410" s="664" t="n">
        <v>1110</v>
      </c>
      <c r="I1410" s="665" t="n">
        <v>2.41</v>
      </c>
      <c r="K1410" t="inlineStr">
        <is>
          <t>p006485</t>
        </is>
      </c>
      <c r="L1410" s="663" t="e">
        <v>#REF!</v>
      </c>
    </row>
    <row r="1411">
      <c r="B1411" s="684" t="n">
        <v>111526</v>
      </c>
      <c r="F1411" s="699" t="inlineStr">
        <is>
          <t>F EKRON CHOCOLATE 96004</t>
        </is>
      </c>
      <c r="H1411" s="664" t="n">
        <v>1002</v>
      </c>
      <c r="I1411" s="665" t="n">
        <v>2.89</v>
      </c>
      <c r="K1411" t="inlineStr">
        <is>
          <t>p006485</t>
        </is>
      </c>
      <c r="L1411" s="663" t="e">
        <v>#REF!</v>
      </c>
    </row>
    <row r="1412">
      <c r="B1412" s="684" t="n">
        <v>111557</v>
      </c>
      <c r="F1412" s="699" t="inlineStr">
        <is>
          <t>F SANYA (PN310C)MOCHA 28400</t>
        </is>
      </c>
      <c r="H1412" s="664" t="n">
        <v>1110</v>
      </c>
      <c r="I1412" s="665" t="n">
        <v>2.46</v>
      </c>
      <c r="K1412" t="inlineStr">
        <is>
          <t>p006485</t>
        </is>
      </c>
      <c r="L1412" s="663" t="e">
        <v>#REF!</v>
      </c>
    </row>
    <row r="1413">
      <c r="B1413" s="684" t="n">
        <v>111558</v>
      </c>
      <c r="F1413" s="699" t="inlineStr">
        <is>
          <t>F SANYA(PN310C)CHOCOLATE 28400</t>
        </is>
      </c>
      <c r="H1413" s="664" t="n">
        <v>1110</v>
      </c>
      <c r="I1413" s="665" t="n">
        <v>2.46</v>
      </c>
      <c r="K1413" t="inlineStr">
        <is>
          <t>p006485</t>
        </is>
      </c>
      <c r="L1413" s="663" t="e">
        <v>#REF!</v>
      </c>
    </row>
    <row r="1414">
      <c r="B1414" s="684" t="n">
        <v>111559</v>
      </c>
      <c r="F1414" s="699" t="inlineStr">
        <is>
          <t>F SANYAN(PN310C) RED 28400</t>
        </is>
      </c>
      <c r="H1414" s="664" t="n">
        <v>1110</v>
      </c>
      <c r="I1414" s="665" t="n">
        <v>2.46</v>
      </c>
      <c r="K1414" t="inlineStr">
        <is>
          <t>p006485</t>
        </is>
      </c>
      <c r="L1414" s="663" t="e">
        <v>#REF!</v>
      </c>
    </row>
    <row r="1415">
      <c r="B1415" s="684" t="n">
        <v>111584</v>
      </c>
      <c r="F1415" s="699" t="inlineStr">
        <is>
          <t>F HODGSONPEWTER (GRAY) 43201</t>
        </is>
      </c>
      <c r="H1415" s="664" t="n">
        <v>1002</v>
      </c>
      <c r="I1415" s="665" t="n">
        <v>2.25</v>
      </c>
      <c r="K1415" t="inlineStr">
        <is>
          <t>p006485</t>
        </is>
      </c>
      <c r="L1415" s="663" t="e">
        <v>#REF!</v>
      </c>
    </row>
    <row r="1416">
      <c r="B1416" s="684" t="n">
        <v>180264</v>
      </c>
      <c r="F1416" s="699" t="inlineStr">
        <is>
          <t>F LINEBACDURABLEND BLACK 95202</t>
        </is>
      </c>
      <c r="H1416" s="664" t="n">
        <v>1035</v>
      </c>
      <c r="I1416" s="665" t="n">
        <v>4.12</v>
      </c>
      <c r="K1416" t="inlineStr">
        <is>
          <t>p006485</t>
        </is>
      </c>
      <c r="L1416" s="663" t="e">
        <v>#REF!</v>
      </c>
    </row>
    <row r="1417">
      <c r="B1417" s="684" t="n">
        <v>180272</v>
      </c>
      <c r="F1417" s="699" t="inlineStr">
        <is>
          <t>F DURABLENDTAUPE 27000</t>
        </is>
      </c>
      <c r="H1417" s="664" t="n">
        <v>1035</v>
      </c>
      <c r="I1417" s="665" t="n">
        <v>5.01</v>
      </c>
      <c r="K1417" t="inlineStr">
        <is>
          <t>p006485</t>
        </is>
      </c>
      <c r="L1417" s="663" t="e">
        <v>#REF!</v>
      </c>
    </row>
    <row r="1418">
      <c r="B1418" s="684" t="n">
        <v>180273</v>
      </c>
      <c r="F1418" s="699" t="inlineStr">
        <is>
          <t>F PUTAUPE 27000</t>
        </is>
      </c>
      <c r="H1418" s="664" t="n">
        <v>1035</v>
      </c>
      <c r="I1418" s="665" t="n">
        <v>3.74</v>
      </c>
      <c r="K1418" t="inlineStr">
        <is>
          <t>p006485</t>
        </is>
      </c>
      <c r="L1418" s="663" t="e">
        <v>#REF!</v>
      </c>
    </row>
    <row r="1419">
      <c r="B1419" s="684" t="n">
        <v>180274</v>
      </c>
      <c r="F1419" s="699" t="inlineStr">
        <is>
          <t>F DURABLENDQUARRY 27001</t>
        </is>
      </c>
      <c r="H1419" s="664" t="n">
        <v>1035</v>
      </c>
      <c r="I1419" s="665" t="n">
        <v>5.01</v>
      </c>
      <c r="K1419" t="inlineStr">
        <is>
          <t>p006485</t>
        </is>
      </c>
      <c r="L1419" s="663" t="e">
        <v>#REF!</v>
      </c>
    </row>
    <row r="1420">
      <c r="B1420" s="684" t="n">
        <v>180275</v>
      </c>
      <c r="F1420" s="699" t="inlineStr">
        <is>
          <t>F PUQUARRY 27001</t>
        </is>
      </c>
      <c r="H1420" s="664" t="n">
        <v>1035</v>
      </c>
      <c r="I1420" s="665" t="n">
        <v>3.33</v>
      </c>
      <c r="K1420" t="inlineStr">
        <is>
          <t>p006485</t>
        </is>
      </c>
      <c r="L1420" s="663" t="e">
        <v>#REF!</v>
      </c>
    </row>
    <row r="1421">
      <c r="B1421" s="684" t="n">
        <v>180276</v>
      </c>
      <c r="F1421" s="699" t="inlineStr">
        <is>
          <t>F DURABLENDORANGE 27002</t>
        </is>
      </c>
      <c r="H1421" s="664" t="n">
        <v>1035</v>
      </c>
      <c r="I1421" s="665" t="n">
        <v>4.61</v>
      </c>
      <c r="K1421" t="inlineStr">
        <is>
          <t>p006485</t>
        </is>
      </c>
      <c r="L1421" s="663" t="e">
        <v>#REF!</v>
      </c>
    </row>
    <row r="1422">
      <c r="B1422" s="684" t="n">
        <v>180277</v>
      </c>
      <c r="F1422" s="699" t="inlineStr">
        <is>
          <t>F PUORANGE 27002</t>
        </is>
      </c>
      <c r="H1422" s="664" t="n">
        <v>1035</v>
      </c>
      <c r="I1422" s="665" t="n">
        <v>3.33</v>
      </c>
      <c r="K1422" t="inlineStr">
        <is>
          <t>p006485</t>
        </is>
      </c>
      <c r="L1422" s="663" t="e">
        <v>#REF!</v>
      </c>
    </row>
    <row r="1423">
      <c r="B1423" s="697" t="inlineStr">
        <is>
          <t>CG0100008</t>
        </is>
      </c>
      <c r="F1423" s="700" t="inlineStr">
        <is>
          <t xml:space="preserve">B188 ACRYLIC BUTTON          </t>
        </is>
      </c>
      <c r="H1423" s="664" t="n">
        <v>1036</v>
      </c>
      <c r="I1423" s="665" t="n">
        <v>0.02</v>
      </c>
      <c r="J1423" s="666" t="inlineStr">
        <is>
          <t>EA</t>
        </is>
      </c>
      <c r="K1423" t="inlineStr">
        <is>
          <t>p009067+6940</t>
        </is>
      </c>
      <c r="L1423" s="663" t="e">
        <v>#REF!</v>
      </c>
      <c r="M1423" t="inlineStr">
        <is>
          <t>P006940 KHAI KD</t>
        </is>
      </c>
    </row>
    <row r="1424">
      <c r="B1424" s="697" t="n">
        <v>572395</v>
      </c>
      <c r="F1424" s="700" t="inlineStr">
        <is>
          <t xml:space="preserve"> B188-71 Headboard Poly</t>
        </is>
      </c>
      <c r="I1424" s="665" t="n">
        <v>0.821</v>
      </c>
      <c r="J1424" s="666" t="inlineStr">
        <is>
          <t>EA</t>
        </is>
      </c>
      <c r="K1424" t="inlineStr">
        <is>
          <t>P006940</t>
        </is>
      </c>
      <c r="L1424" s="663" t="e">
        <v>#REF!</v>
      </c>
    </row>
    <row r="1425">
      <c r="B1425" s="697" t="n">
        <v>572396</v>
      </c>
      <c r="F1425" s="700" t="inlineStr">
        <is>
          <t>B188-71 Footboard Poly</t>
        </is>
      </c>
      <c r="I1425" s="665" t="n">
        <v>0.361</v>
      </c>
      <c r="J1425" s="666" t="inlineStr">
        <is>
          <t>EA</t>
        </is>
      </c>
      <c r="K1425" t="inlineStr">
        <is>
          <t>P006940</t>
        </is>
      </c>
      <c r="L1425" s="663" t="e">
        <v>#REF!</v>
      </c>
    </row>
    <row r="1426">
      <c r="B1426" s="697" t="n">
        <v>572394</v>
      </c>
      <c r="F1426" s="700" t="inlineStr">
        <is>
          <t>B188-72 Headboard Poly</t>
        </is>
      </c>
      <c r="I1426" s="665" t="n">
        <v>0.578</v>
      </c>
      <c r="J1426" s="666" t="inlineStr">
        <is>
          <t>EA</t>
        </is>
      </c>
      <c r="K1426" t="inlineStr">
        <is>
          <t>P006940</t>
        </is>
      </c>
      <c r="L1426" s="663" t="e">
        <v>#REF!</v>
      </c>
    </row>
    <row r="1427">
      <c r="B1427" s="697" t="n">
        <v>572393</v>
      </c>
      <c r="F1427" s="700" t="inlineStr">
        <is>
          <t>B188-72 Footboard Poly</t>
        </is>
      </c>
      <c r="I1427" s="665" t="n">
        <v>1.466</v>
      </c>
      <c r="J1427" s="666" t="inlineStr">
        <is>
          <t>EA</t>
        </is>
      </c>
      <c r="K1427" t="inlineStr">
        <is>
          <t>P006940</t>
        </is>
      </c>
      <c r="L1427" s="663" t="e">
        <v>#REF!</v>
      </c>
    </row>
    <row r="1428">
      <c r="B1428" s="678" t="n">
        <v>111562</v>
      </c>
      <c r="F1428" s="675" t="inlineStr">
        <is>
          <t>F GRECIAN AMBER (2) 23800</t>
        </is>
      </c>
      <c r="H1428" s="664" t="n">
        <v>1002</v>
      </c>
      <c r="I1428" s="665" t="n">
        <v>3.82</v>
      </c>
      <c r="K1428" t="inlineStr">
        <is>
          <t>P007002</t>
        </is>
      </c>
      <c r="L1428" s="663" t="e">
        <v>#REF!</v>
      </c>
    </row>
    <row r="1429">
      <c r="B1429" s="678" t="n">
        <v>111527</v>
      </c>
      <c r="F1429" s="675" t="inlineStr">
        <is>
          <t>F EKRON(NEWCRINKLE)COCOA 96005</t>
        </is>
      </c>
      <c r="H1429" s="664" t="n">
        <v>1002</v>
      </c>
      <c r="I1429" s="665" t="n">
        <v>2.89</v>
      </c>
      <c r="K1429" t="inlineStr">
        <is>
          <t>p006688</t>
        </is>
      </c>
      <c r="L1429" s="663" t="e">
        <v>#REF!</v>
      </c>
    </row>
    <row r="1430">
      <c r="B1430" s="678" t="n">
        <v>111552</v>
      </c>
      <c r="F1430" s="675" t="inlineStr">
        <is>
          <t>F WINCHESTERGARNET 25700</t>
        </is>
      </c>
      <c r="H1430" s="664" t="n">
        <v>1002</v>
      </c>
      <c r="I1430" s="665" t="n">
        <v>9.140000000000001</v>
      </c>
      <c r="K1430" t="inlineStr">
        <is>
          <t>p006688</t>
        </is>
      </c>
      <c r="L1430" s="663" t="e">
        <v>#REF!</v>
      </c>
    </row>
    <row r="1431">
      <c r="B1431" s="678" t="n">
        <v>111564</v>
      </c>
      <c r="F1431" s="675" t="inlineStr">
        <is>
          <t>F DEJAVUGARNET 23800</t>
        </is>
      </c>
      <c r="H1431" s="664" t="n">
        <v>1002</v>
      </c>
      <c r="I1431" s="665" t="n">
        <v>6.57</v>
      </c>
      <c r="K1431" t="inlineStr">
        <is>
          <t>p006688</t>
        </is>
      </c>
      <c r="L1431" s="663" t="e">
        <v>#REF!</v>
      </c>
    </row>
    <row r="1432">
      <c r="B1432" s="678" t="n">
        <v>111574</v>
      </c>
      <c r="F1432" s="675" t="inlineStr">
        <is>
          <t>F WINDHAM(M9545)MIDNIGHT 25800</t>
        </is>
      </c>
      <c r="H1432" s="664" t="n">
        <v>1002</v>
      </c>
      <c r="I1432" s="665" t="n">
        <v>5.31</v>
      </c>
      <c r="K1432" t="inlineStr">
        <is>
          <t>p006688</t>
        </is>
      </c>
      <c r="L1432" s="663" t="e">
        <v>#REF!</v>
      </c>
    </row>
    <row r="1433">
      <c r="B1433" s="678" t="n">
        <v>111575</v>
      </c>
      <c r="F1433" s="675" t="inlineStr">
        <is>
          <t>F CASTILESAND 26200</t>
        </is>
      </c>
      <c r="H1433" s="664" t="n">
        <v>1152</v>
      </c>
      <c r="I1433" s="665" t="n">
        <v>7.22</v>
      </c>
      <c r="K1433" t="inlineStr">
        <is>
          <t>p006688</t>
        </is>
      </c>
      <c r="L1433" s="663" t="e">
        <v>#REF!</v>
      </c>
    </row>
    <row r="1434">
      <c r="B1434" s="678" t="n">
        <v>111590</v>
      </c>
      <c r="F1434" s="675" t="inlineStr">
        <is>
          <t>F NADIOR(CLASSIC)PASILEY 28003</t>
        </is>
      </c>
      <c r="H1434" s="664" t="n">
        <v>1002</v>
      </c>
      <c r="I1434" s="665" t="n">
        <v>4.84</v>
      </c>
      <c r="K1434" t="inlineStr">
        <is>
          <t>p006688</t>
        </is>
      </c>
      <c r="L1434" s="663" t="e">
        <v>#REF!</v>
      </c>
    </row>
    <row r="1435">
      <c r="B1435" s="678" t="inlineStr">
        <is>
          <t>111563PL</t>
        </is>
      </c>
      <c r="F1435" s="675" t="inlineStr">
        <is>
          <t>F CASABLANCAGARNET 23800</t>
        </is>
      </c>
      <c r="H1435" s="664" t="n">
        <v>1002</v>
      </c>
      <c r="I1435" s="665" t="n">
        <v>13.14</v>
      </c>
      <c r="K1435" t="inlineStr">
        <is>
          <t>p006688</t>
        </is>
      </c>
      <c r="L1435" s="663" t="e">
        <v>#REF!</v>
      </c>
    </row>
    <row r="1436">
      <c r="B1436" s="678" t="inlineStr">
        <is>
          <t>111565PL</t>
        </is>
      </c>
      <c r="F1436" s="675" t="inlineStr">
        <is>
          <t>F TANGIERSGARNET 23800</t>
        </is>
      </c>
      <c r="H1436" s="664" t="n">
        <v>1002</v>
      </c>
      <c r="I1436" s="665" t="n">
        <v>13.14</v>
      </c>
      <c r="K1436" t="inlineStr">
        <is>
          <t>p006688</t>
        </is>
      </c>
      <c r="L1436" s="663" t="e">
        <v>#REF!</v>
      </c>
    </row>
    <row r="1437">
      <c r="B1437" s="678" t="inlineStr">
        <is>
          <t>111589PL</t>
        </is>
      </c>
      <c r="F1437" s="675" t="inlineStr">
        <is>
          <t>F NADIOR(T11146)BURGUNDY 28002</t>
        </is>
      </c>
      <c r="H1437" s="664" t="n">
        <v>1153</v>
      </c>
      <c r="I1437" s="665" t="n">
        <v>4.32</v>
      </c>
      <c r="K1437" t="inlineStr">
        <is>
          <t>p006688</t>
        </is>
      </c>
      <c r="L1437" s="663" t="e">
        <v>#REF!</v>
      </c>
    </row>
    <row r="1438">
      <c r="B1438" s="678" t="n">
        <v>111549</v>
      </c>
      <c r="F1438" s="675" t="inlineStr">
        <is>
          <t>F MILLIEDRIFTWOOD 25500</t>
        </is>
      </c>
      <c r="H1438" s="664" t="n">
        <v>1154</v>
      </c>
      <c r="I1438" s="665" t="n">
        <v>5.51</v>
      </c>
      <c r="K1438" t="inlineStr">
        <is>
          <t>p006859</t>
        </is>
      </c>
      <c r="L1438" s="663" t="e">
        <v>#REF!</v>
      </c>
    </row>
    <row r="1439">
      <c r="B1439" s="678" t="n">
        <v>111550</v>
      </c>
      <c r="F1439" s="675" t="inlineStr">
        <is>
          <t>F MARQUISDRIFTWOOD 25500</t>
        </is>
      </c>
      <c r="H1439" s="664" t="n">
        <v>1154</v>
      </c>
      <c r="I1439" s="665" t="n">
        <v>5.51</v>
      </c>
      <c r="K1439" t="inlineStr">
        <is>
          <t>p006859</t>
        </is>
      </c>
      <c r="L1439" s="663" t="e">
        <v>#REF!</v>
      </c>
    </row>
    <row r="1440">
      <c r="B1440" s="678" t="n">
        <v>111551</v>
      </c>
      <c r="F1440" s="675" t="inlineStr">
        <is>
          <t>F EASTONBLACK 25500</t>
        </is>
      </c>
      <c r="H1440" s="664" t="n">
        <v>1083</v>
      </c>
      <c r="I1440" s="665" t="n">
        <v>9.07</v>
      </c>
      <c r="K1440" t="inlineStr">
        <is>
          <t>p006859</t>
        </is>
      </c>
      <c r="L1440" s="663" t="e">
        <v>#REF!</v>
      </c>
    </row>
    <row r="1441">
      <c r="B1441" s="701" t="n">
        <v>111554</v>
      </c>
      <c r="C1441" s="702" t="n"/>
      <c r="D1441" s="702" t="n"/>
      <c r="E1441" s="702" t="n"/>
      <c r="F1441" s="702" t="inlineStr">
        <is>
          <t>F DAYSTAR(E6124)SEAFOAM 28200</t>
        </is>
      </c>
      <c r="G1441" s="703" t="n"/>
      <c r="H1441" s="703" t="n">
        <v>1159</v>
      </c>
      <c r="I1441" s="704" t="n">
        <v>2.87</v>
      </c>
      <c r="J1441" s="702" t="n"/>
      <c r="K1441" s="705" t="inlineStr">
        <is>
          <t>p006859</t>
        </is>
      </c>
      <c r="L1441" s="706" t="e">
        <v>#REF!</v>
      </c>
      <c r="N1441" s="705" t="inlineStr">
        <is>
          <t>LUC DAU 1061 (P006589)</t>
        </is>
      </c>
    </row>
    <row r="1442">
      <c r="B1442" s="678" t="n">
        <v>111555</v>
      </c>
      <c r="F1442" s="675" t="inlineStr">
        <is>
          <t xml:space="preserve">F DAHLIATIDEPOOL 28200  </t>
        </is>
      </c>
      <c r="H1442" s="664" t="n">
        <v>1066</v>
      </c>
      <c r="I1442" s="665" t="n">
        <v>9.300000000000001</v>
      </c>
      <c r="K1442" t="inlineStr">
        <is>
          <t>p006859</t>
        </is>
      </c>
      <c r="L1442" s="663" t="e">
        <v>#REF!</v>
      </c>
    </row>
    <row r="1443">
      <c r="B1443" s="678" t="n">
        <v>111569</v>
      </c>
      <c r="F1443" s="675" t="inlineStr">
        <is>
          <t>F CHAMBERLY ALLOY(GREY) 24302</t>
        </is>
      </c>
      <c r="H1443" s="664" t="n">
        <v>1002</v>
      </c>
      <c r="I1443" s="665" t="n">
        <v>3.08</v>
      </c>
      <c r="K1443" t="inlineStr">
        <is>
          <t>p006859</t>
        </is>
      </c>
      <c r="L1443" s="663" t="e">
        <v>#REF!</v>
      </c>
    </row>
    <row r="1444">
      <c r="B1444" s="678" t="n">
        <v>111570</v>
      </c>
      <c r="F1444" s="675" t="inlineStr">
        <is>
          <t>F GRIDBUTTERCUP 24302</t>
        </is>
      </c>
      <c r="H1444" s="664" t="n">
        <v>1002</v>
      </c>
      <c r="I1444" s="665" t="n">
        <v>5.65</v>
      </c>
      <c r="K1444" t="inlineStr">
        <is>
          <t>p006859</t>
        </is>
      </c>
      <c r="L1444" s="663" t="e">
        <v>#REF!</v>
      </c>
    </row>
    <row r="1445">
      <c r="B1445" s="678" t="n">
        <v>111571</v>
      </c>
      <c r="F1445" s="675" t="inlineStr">
        <is>
          <t>F EDWARDCANARY 24302</t>
        </is>
      </c>
      <c r="H1445" s="664" t="n">
        <v>1129</v>
      </c>
      <c r="I1445" s="665" t="n">
        <v>11.3</v>
      </c>
      <c r="K1445" t="inlineStr">
        <is>
          <t>p006859</t>
        </is>
      </c>
      <c r="L1445" s="663" t="e">
        <v>#REF!</v>
      </c>
    </row>
    <row r="1446">
      <c r="B1446" s="678" t="n">
        <v>111579</v>
      </c>
      <c r="F1446" s="675" t="inlineStr">
        <is>
          <t>F CORLEY SLATE (NUTMEG) 28800</t>
        </is>
      </c>
      <c r="H1446" s="664" t="n">
        <v>1002</v>
      </c>
      <c r="I1446" s="665" t="n">
        <v>3.16</v>
      </c>
      <c r="K1446" t="inlineStr">
        <is>
          <t>p006859</t>
        </is>
      </c>
      <c r="L1446" s="663" t="e">
        <v>#REF!</v>
      </c>
    </row>
    <row r="1447">
      <c r="B1447" s="678" t="n">
        <v>111580</v>
      </c>
      <c r="F1447" s="675" t="inlineStr">
        <is>
          <t>F METALISEAGRASS 28800</t>
        </is>
      </c>
      <c r="H1447" s="664" t="n">
        <v>1002</v>
      </c>
      <c r="I1447" s="665" t="n">
        <v>9.01</v>
      </c>
      <c r="K1447" t="inlineStr">
        <is>
          <t>p006859</t>
        </is>
      </c>
      <c r="L1447" s="663" t="e">
        <v>#REF!</v>
      </c>
    </row>
    <row r="1448">
      <c r="B1448" s="678" t="n">
        <v>111582</v>
      </c>
      <c r="F1448" s="675" t="inlineStr">
        <is>
          <t>F SHIMA TEAK 28800</t>
        </is>
      </c>
      <c r="H1448" s="664" t="n">
        <v>1002</v>
      </c>
      <c r="I1448" s="665" t="n">
        <v>9.050000000000001</v>
      </c>
      <c r="K1448" t="inlineStr">
        <is>
          <t>p006859</t>
        </is>
      </c>
      <c r="L1448" s="663" t="e">
        <v>#REF!</v>
      </c>
    </row>
    <row r="1449">
      <c r="B1449" s="678" t="n">
        <v>111583</v>
      </c>
      <c r="F1449" s="675" t="inlineStr">
        <is>
          <t>F HODGSON(XC293C)CARAMEL 43200</t>
        </is>
      </c>
      <c r="H1449" s="664" t="n">
        <v>1002</v>
      </c>
      <c r="I1449" s="665" t="n">
        <v>2.25</v>
      </c>
      <c r="K1449" t="inlineStr">
        <is>
          <t>p006859</t>
        </is>
      </c>
      <c r="L1449" s="663" t="e">
        <v>#REF!</v>
      </c>
    </row>
    <row r="1450">
      <c r="B1450" s="678" t="n">
        <v>111585</v>
      </c>
      <c r="F1450" s="675" t="inlineStr">
        <is>
          <t xml:space="preserve">F PLACIDE(T11078)GARNET 25200 </t>
        </is>
      </c>
      <c r="H1450" s="664" t="n">
        <v>1002</v>
      </c>
      <c r="I1450" s="665" t="n">
        <v>4.84</v>
      </c>
      <c r="K1450" t="inlineStr">
        <is>
          <t>p006859</t>
        </is>
      </c>
      <c r="L1450" s="663" t="e">
        <v>#REF!</v>
      </c>
    </row>
    <row r="1451">
      <c r="B1451" s="678" t="n">
        <v>111586</v>
      </c>
      <c r="F1451" s="675" t="inlineStr">
        <is>
          <t xml:space="preserve">F PLACIDE SCRIPT(RUBY) 25201 </t>
        </is>
      </c>
      <c r="G1451" s="707" t="n">
        <v>1002</v>
      </c>
      <c r="H1451" s="664" t="n">
        <v>1083</v>
      </c>
      <c r="I1451" s="665" t="n">
        <v>4.5</v>
      </c>
      <c r="K1451" t="inlineStr">
        <is>
          <t>p006859</t>
        </is>
      </c>
      <c r="L1451" s="663" t="e">
        <v>#REF!</v>
      </c>
      <c r="M1451" t="inlineStr">
        <is>
          <t>pz50803</t>
        </is>
      </c>
      <c r="N1451" s="708" t="n">
        <v>41808</v>
      </c>
    </row>
    <row r="1452">
      <c r="B1452" s="678" t="n">
        <v>111587</v>
      </c>
      <c r="F1452" s="675" t="inlineStr">
        <is>
          <t>F LEDGESTONE MOCHA(MINK) 27401</t>
        </is>
      </c>
      <c r="H1452" s="664" t="n">
        <v>1002</v>
      </c>
      <c r="I1452" s="665" t="n">
        <v>3.84</v>
      </c>
      <c r="K1452" t="inlineStr">
        <is>
          <t>p006859</t>
        </is>
      </c>
      <c r="L1452" s="663" t="e">
        <v>#REF!</v>
      </c>
    </row>
    <row r="1453">
      <c r="B1453" s="678" t="n">
        <v>111591</v>
      </c>
      <c r="F1453" s="675" t="inlineStr">
        <is>
          <t>F BROMWICH CRIMSON(RUST) 29601</t>
        </is>
      </c>
      <c r="H1453" s="664" t="n">
        <v>1002</v>
      </c>
      <c r="I1453" s="665" t="n">
        <v>2.46</v>
      </c>
      <c r="K1453" t="inlineStr">
        <is>
          <t>p006859</t>
        </is>
      </c>
      <c r="L1453" s="663" t="e">
        <v>#REF!</v>
      </c>
    </row>
    <row r="1454">
      <c r="B1454" s="678" t="n">
        <v>111592</v>
      </c>
      <c r="F1454" s="675" t="inlineStr">
        <is>
          <t>F BROMWICHCHOCOLATE 29602</t>
        </is>
      </c>
      <c r="H1454" s="664" t="n">
        <v>1002</v>
      </c>
      <c r="I1454" s="665" t="n">
        <v>2.35</v>
      </c>
      <c r="K1454" t="inlineStr">
        <is>
          <t>p006859</t>
        </is>
      </c>
      <c r="L1454" s="663" t="e">
        <v>#REF!</v>
      </c>
    </row>
    <row r="1455">
      <c r="B1455" s="678" t="n">
        <v>111595</v>
      </c>
      <c r="F1455" s="675" t="inlineStr">
        <is>
          <t xml:space="preserve">F ZFBJ252A-3 CHESTNUT49801   </t>
        </is>
      </c>
      <c r="H1455" s="664" t="n">
        <v>1002</v>
      </c>
      <c r="I1455" s="665" t="n">
        <v>4.61</v>
      </c>
      <c r="K1455" t="inlineStr">
        <is>
          <t>p006859</t>
        </is>
      </c>
      <c r="L1455" s="663" t="e">
        <v>#REF!</v>
      </c>
    </row>
    <row r="1456">
      <c r="B1456" s="678" t="inlineStr">
        <is>
          <t>111556PL</t>
        </is>
      </c>
      <c r="F1456" s="675" t="inlineStr">
        <is>
          <t>F MERCERWROUGHTIRON 28200</t>
        </is>
      </c>
      <c r="H1456" s="664" t="n">
        <v>1002</v>
      </c>
      <c r="I1456" s="665" t="n">
        <v>7.19</v>
      </c>
      <c r="K1456" t="inlineStr">
        <is>
          <t>p006859</t>
        </is>
      </c>
      <c r="L1456" s="663" t="e">
        <v>#REF!</v>
      </c>
    </row>
    <row r="1457">
      <c r="B1457" s="678" t="inlineStr">
        <is>
          <t>111581PL</t>
        </is>
      </c>
      <c r="F1457" s="675" t="inlineStr">
        <is>
          <t xml:space="preserve">F CRISS CROSSTOFFEE 28800        </t>
        </is>
      </c>
      <c r="H1457" s="664" t="n">
        <v>1002</v>
      </c>
      <c r="I1457" s="665" t="n">
        <v>5.41</v>
      </c>
      <c r="K1457" t="inlineStr">
        <is>
          <t>p006859</t>
        </is>
      </c>
      <c r="L1457" s="663" t="e">
        <v>#REF!</v>
      </c>
    </row>
    <row r="1458">
      <c r="B1458" s="709" t="n">
        <v>111588</v>
      </c>
      <c r="F1458" s="675" t="inlineStr">
        <is>
          <t xml:space="preserve"> F LEDGESTONE WALNUT 27402</t>
        </is>
      </c>
      <c r="H1458" s="664" t="n">
        <v>1002</v>
      </c>
      <c r="I1458" s="665" t="n">
        <v>3.84</v>
      </c>
      <c r="K1458" t="inlineStr">
        <is>
          <t>p007181</t>
        </is>
      </c>
      <c r="L1458" s="663" t="e">
        <v>#REF!</v>
      </c>
    </row>
    <row r="1459">
      <c r="B1459" s="678" t="n">
        <v>111408</v>
      </c>
      <c r="F1459" s="700" t="inlineStr">
        <is>
          <t>F CARNELL BROWN 10300</t>
        </is>
      </c>
      <c r="H1459" s="664" t="n">
        <v>1002</v>
      </c>
      <c r="I1459" s="665" t="n">
        <v>7.12</v>
      </c>
      <c r="K1459" t="inlineStr">
        <is>
          <t>p006860</t>
        </is>
      </c>
      <c r="L1459" s="663" t="e">
        <v>#REF!</v>
      </c>
    </row>
    <row r="1460">
      <c r="B1460" s="678" t="n">
        <v>111528</v>
      </c>
      <c r="F1460" s="707" t="inlineStr">
        <is>
          <t>F PATRICKSON COFFEE 95601</t>
        </is>
      </c>
      <c r="H1460" s="664" t="n">
        <v>1002</v>
      </c>
      <c r="I1460" s="665" t="n">
        <v>1.55</v>
      </c>
      <c r="K1460" t="inlineStr">
        <is>
          <t>p006860</t>
        </is>
      </c>
      <c r="L1460" s="663" t="e">
        <v>#REF!</v>
      </c>
    </row>
    <row r="1461">
      <c r="B1461" s="678" t="n">
        <v>111529</v>
      </c>
      <c r="F1461" s="707" t="inlineStr">
        <is>
          <t>F PATRICKSON MOCHA 95602</t>
        </is>
      </c>
      <c r="H1461" s="664" t="n">
        <v>1002</v>
      </c>
      <c r="I1461" s="665" t="n">
        <v>1.55</v>
      </c>
      <c r="K1461" t="inlineStr">
        <is>
          <t>p006860</t>
        </is>
      </c>
      <c r="L1461" s="663" t="e">
        <v>#REF!</v>
      </c>
    </row>
    <row r="1462">
      <c r="B1462" s="678" t="n">
        <v>111538</v>
      </c>
      <c r="F1462" s="693" t="inlineStr">
        <is>
          <t>F TAMBO PEWTER(SEAL) 27801</t>
        </is>
      </c>
      <c r="H1462" s="664" t="n">
        <v>1150</v>
      </c>
      <c r="I1462" s="665" t="n">
        <v>3.19</v>
      </c>
      <c r="K1462" t="inlineStr">
        <is>
          <t>p007004</t>
        </is>
      </c>
      <c r="L1462" s="663" t="e">
        <v>#REF!</v>
      </c>
    </row>
    <row r="1463">
      <c r="B1463" s="678" t="n">
        <v>111539</v>
      </c>
      <c r="F1463" s="693" t="inlineStr">
        <is>
          <t>F JATHAN(PHOENIX) MOCHA 43600</t>
        </is>
      </c>
      <c r="H1463" s="664" t="n">
        <v>1150</v>
      </c>
      <c r="I1463" s="665" t="n">
        <v>3.19</v>
      </c>
      <c r="K1463" t="inlineStr">
        <is>
          <t>p007004</t>
        </is>
      </c>
      <c r="L1463" s="663" t="e">
        <v>#REF!</v>
      </c>
    </row>
    <row r="1464">
      <c r="B1464" s="678" t="n">
        <v>111409</v>
      </c>
      <c r="F1464" s="693" t="inlineStr">
        <is>
          <t>F CARNELLE BROWN 10300</t>
        </is>
      </c>
      <c r="H1464" s="664" t="n">
        <v>1002</v>
      </c>
      <c r="I1464" s="665" t="n">
        <v>5.59</v>
      </c>
      <c r="K1464" t="inlineStr">
        <is>
          <t>p007004</t>
        </is>
      </c>
      <c r="L1464" s="663" t="e">
        <v>#REF!</v>
      </c>
    </row>
    <row r="1465">
      <c r="B1465" s="678" t="n">
        <v>111533</v>
      </c>
      <c r="F1465" s="710" t="inlineStr">
        <is>
          <t>F RANDON MAHOGANY 25902</t>
        </is>
      </c>
      <c r="H1465" s="664" t="n">
        <v>1002</v>
      </c>
      <c r="I1465" s="665" t="n">
        <v>4.61</v>
      </c>
      <c r="K1465" t="inlineStr">
        <is>
          <t>p007005</t>
        </is>
      </c>
      <c r="L1465" s="663" t="e">
        <v>#REF!</v>
      </c>
    </row>
    <row r="1466">
      <c r="B1466" s="678" t="n">
        <v>111548</v>
      </c>
      <c r="F1466" s="710" t="inlineStr">
        <is>
          <t>F HARISTON SHITAKE/SAFARI25500</t>
        </is>
      </c>
      <c r="H1466" s="664" t="n">
        <v>1002</v>
      </c>
      <c r="I1466" s="665" t="n">
        <v>3.71</v>
      </c>
      <c r="K1466" t="inlineStr">
        <is>
          <t>p007005</t>
        </is>
      </c>
      <c r="L1466" s="663" t="e">
        <v>#REF!</v>
      </c>
    </row>
    <row r="1467">
      <c r="B1467" s="678" t="n">
        <v>111598</v>
      </c>
      <c r="F1467" s="675" t="inlineStr">
        <is>
          <t xml:space="preserve"> F ZIPLINE FULLMOON 19500</t>
        </is>
      </c>
      <c r="H1467" s="664" t="n">
        <v>1002</v>
      </c>
      <c r="I1467" s="665" t="n">
        <v>9.140000000000001</v>
      </c>
      <c r="K1467" t="inlineStr">
        <is>
          <t>P007332</t>
        </is>
      </c>
      <c r="L1467" s="663" t="e">
        <v>#REF!</v>
      </c>
    </row>
    <row r="1468">
      <c r="B1468" s="678" t="n">
        <v>111546</v>
      </c>
      <c r="F1468" s="675" t="inlineStr">
        <is>
          <t>F GEORDIE CAFE(7) 23500</t>
        </is>
      </c>
      <c r="H1468" s="664" t="n">
        <v>1002</v>
      </c>
      <c r="I1468" s="665" t="n">
        <v>3.25</v>
      </c>
      <c r="K1468" t="inlineStr">
        <is>
          <t>p007021</t>
        </is>
      </c>
      <c r="L1468" s="663" t="e">
        <v>#REF!</v>
      </c>
    </row>
    <row r="1469">
      <c r="B1469" s="678" t="n">
        <v>111547</v>
      </c>
      <c r="F1469" s="675" t="inlineStr">
        <is>
          <t>F BUTTON UPCAFE 23500</t>
        </is>
      </c>
      <c r="H1469" s="664" t="n">
        <v>1002</v>
      </c>
      <c r="I1469" s="665" t="n">
        <v>7.23</v>
      </c>
      <c r="K1469" t="inlineStr">
        <is>
          <t>p007021</t>
        </is>
      </c>
      <c r="L1469" s="663" t="e">
        <v>#REF!</v>
      </c>
    </row>
    <row r="1470">
      <c r="B1470" s="678" t="n">
        <v>111561</v>
      </c>
      <c r="F1470" s="675" t="inlineStr">
        <is>
          <t>F VEVINIA(ZFBJ251A-3)SABLE4980</t>
        </is>
      </c>
      <c r="H1470" s="664" t="n">
        <v>1002</v>
      </c>
      <c r="I1470" s="665" t="n">
        <v>4.61</v>
      </c>
      <c r="K1470" t="inlineStr">
        <is>
          <t>p007021</t>
        </is>
      </c>
      <c r="L1470" s="663" t="e">
        <v>#REF!</v>
      </c>
    </row>
    <row r="1471">
      <c r="B1471" s="678" t="n">
        <v>111566</v>
      </c>
      <c r="F1471" s="675" t="inlineStr">
        <is>
          <t>F CLADIO HICKORY(LEATHER 24100</t>
        </is>
      </c>
      <c r="H1471" s="664" t="n">
        <v>1002</v>
      </c>
      <c r="I1471" s="665" t="n">
        <v>2.93</v>
      </c>
      <c r="K1471" t="inlineStr">
        <is>
          <t>p007021</t>
        </is>
      </c>
      <c r="L1471" s="663" t="e">
        <v>#REF!</v>
      </c>
    </row>
    <row r="1472">
      <c r="B1472" s="678" t="n">
        <v>111567</v>
      </c>
      <c r="F1472" s="675" t="inlineStr">
        <is>
          <t>F GRIZZLYJAVA 24100</t>
        </is>
      </c>
      <c r="H1472" s="664" t="n">
        <v>1150</v>
      </c>
      <c r="I1472" s="665" t="n">
        <v>3.21</v>
      </c>
      <c r="K1472" t="inlineStr">
        <is>
          <t>p007021</t>
        </is>
      </c>
      <c r="L1472" s="663" t="e">
        <v>#REF!</v>
      </c>
    </row>
    <row r="1473">
      <c r="B1473" s="678" t="n">
        <v>111572</v>
      </c>
      <c r="F1473" s="675" t="inlineStr">
        <is>
          <t>F GRANCABRIOGARDEN 25301</t>
        </is>
      </c>
      <c r="H1473" s="664" t="n">
        <v>1156</v>
      </c>
      <c r="I1473" s="665" t="n">
        <v>8.07</v>
      </c>
      <c r="K1473" t="inlineStr">
        <is>
          <t>p007021</t>
        </is>
      </c>
      <c r="L1473" s="663" t="e">
        <v>#REF!</v>
      </c>
    </row>
    <row r="1474">
      <c r="B1474" s="678" t="inlineStr">
        <is>
          <t>111568PL</t>
        </is>
      </c>
      <c r="F1474" s="675" t="inlineStr">
        <is>
          <t>F SARGE BLACK 24100</t>
        </is>
      </c>
      <c r="H1474" s="664" t="n">
        <v>1002</v>
      </c>
      <c r="I1474" s="665" t="n">
        <v>5.29</v>
      </c>
      <c r="K1474" t="inlineStr">
        <is>
          <t>p007021</t>
        </is>
      </c>
      <c r="L1474" s="663" t="e">
        <v>#REF!</v>
      </c>
    </row>
    <row r="1475">
      <c r="B1475" s="678" t="inlineStr">
        <is>
          <t>111573PL</t>
        </is>
      </c>
      <c r="F1475" s="675" t="inlineStr">
        <is>
          <t>F CRANCARIBREGARDEN 25301</t>
        </is>
      </c>
      <c r="H1475" s="664" t="n">
        <v>1099</v>
      </c>
      <c r="I1475" s="665" t="n">
        <v>6.09</v>
      </c>
      <c r="K1475" t="inlineStr">
        <is>
          <t>p007021</t>
        </is>
      </c>
      <c r="L1475" s="663" t="e">
        <v>#REF!</v>
      </c>
    </row>
    <row r="1476">
      <c r="B1476" s="678" t="n">
        <v>111599</v>
      </c>
      <c r="C1476" s="711" t="n"/>
      <c r="F1476" s="675" t="inlineStr">
        <is>
          <t>F DEANDRE(PE500) TERRACOTTA65901</t>
        </is>
      </c>
      <c r="H1476" s="664" t="n">
        <v>1002</v>
      </c>
      <c r="I1476" s="665" t="n">
        <v>3.02</v>
      </c>
      <c r="K1476" t="inlineStr">
        <is>
          <t>P007313</t>
        </is>
      </c>
      <c r="L1476" s="663" t="e">
        <v>#REF!</v>
      </c>
    </row>
    <row r="1477">
      <c r="B1477" s="678" t="n">
        <v>111600</v>
      </c>
      <c r="C1477" s="711" t="n"/>
      <c r="F1477" s="675" t="inlineStr">
        <is>
          <t xml:space="preserve"> F DEANDRE(PE500) GRAY 65903</t>
        </is>
      </c>
      <c r="H1477" s="664" t="n">
        <v>1002</v>
      </c>
      <c r="I1477" s="665" t="n">
        <v>3.02</v>
      </c>
      <c r="K1477" t="inlineStr">
        <is>
          <t>P007313</t>
        </is>
      </c>
      <c r="L1477" s="663" t="e">
        <v>#REF!</v>
      </c>
    </row>
    <row r="1478">
      <c r="B1478" s="678" t="n">
        <v>111597</v>
      </c>
      <c r="F1478" s="712" t="inlineStr">
        <is>
          <t>F WESTEN(BQ416-8)GRANITE 19501</t>
        </is>
      </c>
      <c r="H1478" s="664" t="n">
        <v>1002</v>
      </c>
      <c r="I1478" s="665" t="n">
        <v>3.78</v>
      </c>
      <c r="K1478" t="inlineStr">
        <is>
          <t>P007425</t>
        </is>
      </c>
      <c r="L1478" s="663" t="e">
        <v>#REF!</v>
      </c>
    </row>
    <row r="1479">
      <c r="B1479" s="678" t="n">
        <v>111576</v>
      </c>
      <c r="F1479" s="675" t="inlineStr">
        <is>
          <t>F ZETH BASIL(STONEWALD) 27103</t>
        </is>
      </c>
      <c r="H1479" s="664" t="n">
        <v>1110</v>
      </c>
      <c r="I1479" s="665" t="n">
        <v>3.2</v>
      </c>
      <c r="K1479" t="inlineStr">
        <is>
          <t>P007192</t>
        </is>
      </c>
      <c r="L1479" s="663" t="e">
        <v>#REF!</v>
      </c>
    </row>
    <row r="1480">
      <c r="B1480" s="678" t="n">
        <v>111577</v>
      </c>
      <c r="F1480" s="675" t="inlineStr">
        <is>
          <t>F ZETH(FRAGELISTIC)DENIM 27101</t>
        </is>
      </c>
      <c r="H1480" s="664" t="n">
        <v>1110</v>
      </c>
      <c r="I1480" s="665" t="n">
        <v>3.2</v>
      </c>
      <c r="K1480" t="inlineStr">
        <is>
          <t>P007192</t>
        </is>
      </c>
      <c r="L1480" s="663" t="e">
        <v>#REF!</v>
      </c>
    </row>
    <row r="1481">
      <c r="B1481" s="678" t="n">
        <v>111578</v>
      </c>
      <c r="F1481" s="675" t="inlineStr">
        <is>
          <t>F ZETH CRIMSON (TOMATO) 27102</t>
        </is>
      </c>
      <c r="H1481" s="664" t="n">
        <v>1110</v>
      </c>
      <c r="I1481" s="665" t="n">
        <v>3.22</v>
      </c>
      <c r="K1481" t="inlineStr">
        <is>
          <t>P007192</t>
        </is>
      </c>
      <c r="L1481" s="663" t="e">
        <v>#REF!</v>
      </c>
    </row>
    <row r="1482">
      <c r="B1482" s="678" t="n">
        <v>111593</v>
      </c>
      <c r="F1482" s="675" t="inlineStr">
        <is>
          <t>F EMBLEY (ROSCOE)SLATE 40800</t>
        </is>
      </c>
      <c r="H1482" s="664" t="n">
        <v>1002</v>
      </c>
      <c r="I1482" s="665" t="n">
        <v>5.15</v>
      </c>
      <c r="K1482" t="inlineStr">
        <is>
          <t>P007193</t>
        </is>
      </c>
      <c r="L1482" s="663" t="e">
        <v>#REF!</v>
      </c>
    </row>
    <row r="1483">
      <c r="B1483" s="678" t="n">
        <v>111594</v>
      </c>
      <c r="F1483" s="675" t="inlineStr">
        <is>
          <t>F EMBLEY CARAMEL(CAMEL) 40801</t>
        </is>
      </c>
      <c r="H1483" s="664" t="n">
        <v>1002</v>
      </c>
      <c r="I1483" s="665" t="n">
        <v>5.15</v>
      </c>
      <c r="K1483" t="inlineStr">
        <is>
          <t>P007193</t>
        </is>
      </c>
      <c r="L1483" s="663" t="e">
        <v>#REF!</v>
      </c>
    </row>
    <row r="1484">
      <c r="B1484" s="678" t="n">
        <v>110116</v>
      </c>
      <c r="F1484" s="675" t="inlineStr">
        <is>
          <t>F ROWLEYCREEKAMBER 37200</t>
        </is>
      </c>
      <c r="H1484" s="664" t="n">
        <v>1155</v>
      </c>
      <c r="I1484" s="665" t="n">
        <v>5.24</v>
      </c>
      <c r="K1484" t="inlineStr">
        <is>
          <t>P007414</t>
        </is>
      </c>
      <c r="L1484" s="663" t="e">
        <v>#REF!</v>
      </c>
    </row>
    <row r="1485">
      <c r="B1485" s="678" t="n">
        <v>110127</v>
      </c>
      <c r="F1485" s="675" t="inlineStr">
        <is>
          <t xml:space="preserve">F DURAPLUSHkhaki368/32522/194 </t>
        </is>
      </c>
      <c r="H1485" s="664" t="n">
        <v>1002</v>
      </c>
      <c r="I1485" s="665" t="n">
        <v>2.448</v>
      </c>
      <c r="K1485" t="inlineStr">
        <is>
          <t>P007866</t>
        </is>
      </c>
      <c r="L1485" s="663" t="e">
        <v>#REF!</v>
      </c>
    </row>
    <row r="1486">
      <c r="B1486" s="678" t="n">
        <v>110181</v>
      </c>
      <c r="F1486" s="675" t="inlineStr">
        <is>
          <t xml:space="preserve">V KANOADURABLENDSNOW 18700 </t>
        </is>
      </c>
      <c r="H1486" s="664" t="n">
        <v>1150</v>
      </c>
      <c r="I1486" s="665" t="n">
        <v>4.11</v>
      </c>
      <c r="K1486" t="inlineStr">
        <is>
          <t>P007383</t>
        </is>
      </c>
      <c r="L1486" s="663" t="e">
        <v>#REF!</v>
      </c>
    </row>
    <row r="1487">
      <c r="B1487" s="678" t="n">
        <v>180278</v>
      </c>
      <c r="F1487" s="675" t="inlineStr">
        <is>
          <t>F ZELLADORECANYON 22002</t>
        </is>
      </c>
      <c r="H1487" s="664" t="n">
        <v>1157</v>
      </c>
      <c r="I1487" s="665" t="n">
        <v>4.75</v>
      </c>
      <c r="K1487" t="inlineStr">
        <is>
          <t>P007383</t>
        </is>
      </c>
      <c r="L1487" s="663" t="e">
        <v>#REF!</v>
      </c>
    </row>
    <row r="1488">
      <c r="B1488" s="678" t="n">
        <v>110276</v>
      </c>
      <c r="F1488" s="675" t="inlineStr">
        <is>
          <t>F PEYTONESPRESSO 161/39373/847</t>
        </is>
      </c>
      <c r="H1488" s="664" t="n">
        <v>1002</v>
      </c>
      <c r="I1488" s="665" t="n">
        <v>3.583</v>
      </c>
      <c r="K1488" t="inlineStr">
        <is>
          <t>P007656</t>
        </is>
      </c>
      <c r="L1488" s="663" t="e">
        <v>#REF!</v>
      </c>
    </row>
    <row r="1489">
      <c r="B1489" s="678" t="n">
        <v>110314</v>
      </c>
      <c r="F1489" s="675" t="inlineStr">
        <is>
          <t xml:space="preserve">F DURAHIDEBLACK 01345/01699     </t>
        </is>
      </c>
      <c r="H1489" s="664" t="n">
        <v>1035</v>
      </c>
      <c r="I1489" s="665" t="n">
        <v>3.09</v>
      </c>
      <c r="K1489" t="inlineStr">
        <is>
          <t>P007729</t>
        </is>
      </c>
      <c r="L1489" s="663" t="e">
        <v>#REF!</v>
      </c>
    </row>
    <row r="1490">
      <c r="B1490" s="678" t="inlineStr">
        <is>
          <t xml:space="preserve">180292H </t>
        </is>
      </c>
      <c r="F1490" s="675" t="inlineStr">
        <is>
          <t xml:space="preserve">V GATOR PVC(04F/OFPC5) BLACK </t>
        </is>
      </c>
      <c r="H1490" s="664" t="n">
        <v>1006</v>
      </c>
      <c r="I1490" s="665" t="n">
        <v>4.37</v>
      </c>
      <c r="K1490" t="inlineStr">
        <is>
          <t>P007736</t>
        </is>
      </c>
      <c r="L1490" s="663" t="e">
        <v>#REF!</v>
      </c>
    </row>
    <row r="1491">
      <c r="B1491" s="678" t="n">
        <v>180204</v>
      </c>
      <c r="F1491" s="675" t="inlineStr">
        <is>
          <t xml:space="preserve">EXQUISITE PEARL      </t>
        </is>
      </c>
      <c r="H1491" s="664" t="n">
        <v>1035</v>
      </c>
      <c r="I1491" s="665" t="n">
        <v>3.49</v>
      </c>
      <c r="K1491" t="inlineStr">
        <is>
          <t>P007384</t>
        </is>
      </c>
      <c r="L1491" s="663" t="e">
        <v>#REF!</v>
      </c>
    </row>
    <row r="1492">
      <c r="B1492" s="678" t="n">
        <v>100398</v>
      </c>
      <c r="F1492" s="675" t="inlineStr">
        <is>
          <t>FEATHER 24" SQ</t>
        </is>
      </c>
      <c r="H1492" s="664" t="n">
        <v>1090</v>
      </c>
      <c r="I1492" s="713" t="n">
        <v>3.55</v>
      </c>
      <c r="L1492" s="663" t="e">
        <v>#REF!</v>
      </c>
    </row>
    <row r="1493">
      <c r="B1493" s="678" t="n">
        <v>100977</v>
      </c>
      <c r="F1493" s="675" t="inlineStr">
        <is>
          <t>FEATHER 22" SQ</t>
        </is>
      </c>
      <c r="H1493" s="664" t="n">
        <v>1090</v>
      </c>
      <c r="I1493" s="713" t="n">
        <v>3.35</v>
      </c>
      <c r="L1493" s="663" t="e">
        <v>#REF!</v>
      </c>
    </row>
    <row r="1494">
      <c r="B1494" s="678" t="n">
        <v>101031</v>
      </c>
      <c r="F1494" s="675" t="inlineStr">
        <is>
          <t>FEATHER 16"x22" SQ</t>
        </is>
      </c>
      <c r="H1494" s="664" t="n">
        <v>1090</v>
      </c>
      <c r="I1494" s="713" t="n">
        <v>3.4</v>
      </c>
      <c r="L1494" s="663" t="e">
        <v>#REF!</v>
      </c>
    </row>
    <row r="1495">
      <c r="B1495" s="659" t="inlineStr">
        <is>
          <t>110741HYD</t>
        </is>
      </c>
      <c r="F1495" s="675" t="inlineStr">
        <is>
          <t>F SANLUCASHARNESS 84603</t>
        </is>
      </c>
      <c r="H1495" s="664" t="n">
        <v>1035</v>
      </c>
      <c r="I1495" s="665" t="n">
        <v>4.06</v>
      </c>
      <c r="K1495" t="inlineStr">
        <is>
          <t>P008043</t>
        </is>
      </c>
      <c r="L1495" s="663" t="e">
        <v>#REF!</v>
      </c>
    </row>
    <row r="1496">
      <c r="B1496" s="659" t="inlineStr">
        <is>
          <t>180070HYD</t>
        </is>
      </c>
      <c r="C1496" s="661" t="n"/>
      <c r="D1496" s="661" t="n"/>
      <c r="E1496" s="661" t="n"/>
      <c r="F1496" s="661" t="inlineStr">
        <is>
          <t>V DURABLENDBLACK 976/237/24200</t>
        </is>
      </c>
      <c r="G1496" s="662" t="inlineStr">
        <is>
          <t>I</t>
        </is>
      </c>
      <c r="H1496" s="664" t="n">
        <v>1035</v>
      </c>
      <c r="I1496" s="665" t="n">
        <v>5.19</v>
      </c>
      <c r="L1496" s="663" t="e">
        <v>#REF!</v>
      </c>
    </row>
    <row r="1497">
      <c r="B1497" s="659" t="inlineStr">
        <is>
          <t>180071HYD</t>
        </is>
      </c>
      <c r="C1497" s="661" t="n"/>
      <c r="D1497" s="661" t="n"/>
      <c r="E1497" s="661" t="n"/>
      <c r="F1497" s="661" t="inlineStr">
        <is>
          <t>V VINYLBLACK 976/237/24200</t>
        </is>
      </c>
      <c r="G1497" s="662" t="inlineStr">
        <is>
          <t>I</t>
        </is>
      </c>
      <c r="H1497" s="664" t="n">
        <v>1035</v>
      </c>
      <c r="I1497" s="665" t="n">
        <v>3.92</v>
      </c>
      <c r="L1497" s="663" t="e">
        <v>#REF!</v>
      </c>
    </row>
    <row r="1498">
      <c r="B1498" s="659" t="inlineStr">
        <is>
          <t>180079HYD</t>
        </is>
      </c>
      <c r="C1498" s="661" t="n"/>
      <c r="D1498" s="661" t="n"/>
      <c r="E1498" s="661" t="n"/>
      <c r="F1498" s="661" t="inlineStr">
        <is>
          <t>V DURABLENDCHOCOLATE 927/94603</t>
        </is>
      </c>
      <c r="G1498" s="662" t="inlineStr">
        <is>
          <t>I</t>
        </is>
      </c>
      <c r="H1498" s="664" t="n">
        <v>1035</v>
      </c>
      <c r="I1498" s="665" t="n">
        <v>5.26</v>
      </c>
      <c r="L1498" s="663" t="e">
        <v>#REF!</v>
      </c>
    </row>
    <row r="1499">
      <c r="B1499" s="659" t="inlineStr">
        <is>
          <t>180080HYD</t>
        </is>
      </c>
      <c r="C1499" s="661" t="n"/>
      <c r="D1499" s="661" t="n"/>
      <c r="E1499" s="661" t="n"/>
      <c r="F1499" s="661" t="inlineStr">
        <is>
          <t>V VINYLCHOCOLATE 92703/94603</t>
        </is>
      </c>
      <c r="G1499" s="662" t="inlineStr">
        <is>
          <t>I</t>
        </is>
      </c>
      <c r="H1499" s="664" t="n">
        <v>1006</v>
      </c>
      <c r="I1499" s="665" t="n">
        <v>3.98</v>
      </c>
      <c r="L1499" s="663" t="e">
        <v>#REF!</v>
      </c>
    </row>
    <row r="1500">
      <c r="B1500" s="678" t="inlineStr">
        <is>
          <t>180248HYD</t>
        </is>
      </c>
      <c r="F1500" s="675" t="inlineStr">
        <is>
          <t>V PU(AW98-53922) UMBER 75802</t>
        </is>
      </c>
      <c r="H1500" s="664" t="n">
        <v>1035</v>
      </c>
      <c r="I1500" s="665" t="n">
        <v>4</v>
      </c>
      <c r="K1500" t="inlineStr">
        <is>
          <t>P008213</t>
        </is>
      </c>
      <c r="L1500" s="663" t="e">
        <v>#REF!</v>
      </c>
    </row>
    <row r="1501">
      <c r="B1501" s="678" t="inlineStr">
        <is>
          <t>180251HYD</t>
        </is>
      </c>
      <c r="F1501" s="675" t="inlineStr">
        <is>
          <t>F DURABLEND GREY 21404</t>
        </is>
      </c>
      <c r="H1501" s="664" t="n">
        <v>1035</v>
      </c>
      <c r="I1501" s="665" t="n">
        <v>5.74</v>
      </c>
      <c r="K1501" t="inlineStr">
        <is>
          <t>P008213</t>
        </is>
      </c>
      <c r="L1501" s="663" t="e">
        <v>#REF!</v>
      </c>
    </row>
    <row r="1502">
      <c r="B1502" s="678" t="inlineStr">
        <is>
          <t>180252HYD</t>
        </is>
      </c>
      <c r="F1502" s="675" t="inlineStr">
        <is>
          <t>V VINYL(DTP327-9M)GREY 21404</t>
        </is>
      </c>
      <c r="H1502" s="664" t="n">
        <v>1035</v>
      </c>
      <c r="I1502" s="665" t="n">
        <v>4.43</v>
      </c>
      <c r="K1502" t="inlineStr">
        <is>
          <t>P008213</t>
        </is>
      </c>
      <c r="L1502" s="663" t="e">
        <v>#REF!</v>
      </c>
    </row>
    <row r="1503">
      <c r="B1503" s="697" t="inlineStr">
        <is>
          <t>180259HYD</t>
        </is>
      </c>
      <c r="C1503" s="693" t="n"/>
      <c r="F1503" s="693" t="inlineStr">
        <is>
          <t>V VINYL-PU(DTP-327-5)RED 21402</t>
        </is>
      </c>
      <c r="H1503" s="664" t="n">
        <v>1035</v>
      </c>
      <c r="I1503" s="665" t="n">
        <v>4.43</v>
      </c>
      <c r="K1503" t="inlineStr">
        <is>
          <t>P008213</t>
        </is>
      </c>
      <c r="L1503" s="663" t="e">
        <v>#REF!</v>
      </c>
    </row>
    <row r="1504">
      <c r="B1504" s="659" t="inlineStr">
        <is>
          <t>180065HYD</t>
        </is>
      </c>
      <c r="C1504" s="661" t="inlineStr">
        <is>
          <t>2120A</t>
        </is>
      </c>
      <c r="D1504" s="661" t="inlineStr">
        <is>
          <t>ANLI</t>
        </is>
      </c>
      <c r="E1504" s="661" t="inlineStr">
        <is>
          <t>RFRU</t>
        </is>
      </c>
      <c r="F1504" s="661" t="inlineStr">
        <is>
          <t>V DURABLENDCAFE 22200/98800</t>
        </is>
      </c>
      <c r="G1504" s="662" t="inlineStr">
        <is>
          <t>I</t>
        </is>
      </c>
      <c r="H1504" s="664" t="n">
        <v>1035</v>
      </c>
      <c r="I1504" s="665" t="n">
        <v>5.38</v>
      </c>
      <c r="L1504" s="663" t="e">
        <v>#REF!</v>
      </c>
    </row>
    <row r="1505">
      <c r="B1505" s="659" t="inlineStr">
        <is>
          <t>180066HYD</t>
        </is>
      </c>
      <c r="C1505" s="661" t="inlineStr">
        <is>
          <t>2120A</t>
        </is>
      </c>
      <c r="D1505" s="661" t="inlineStr">
        <is>
          <t>ANLI</t>
        </is>
      </c>
      <c r="E1505" s="661" t="inlineStr">
        <is>
          <t>RFRU</t>
        </is>
      </c>
      <c r="F1505" s="661" t="inlineStr">
        <is>
          <t>V VINYLCAFE 22200/98800</t>
        </is>
      </c>
      <c r="G1505" s="662" t="inlineStr">
        <is>
          <t>I</t>
        </is>
      </c>
      <c r="H1505" s="664" t="n">
        <v>1006</v>
      </c>
      <c r="I1505" s="665" t="n">
        <v>4.07</v>
      </c>
      <c r="L1505" s="663" t="e">
        <v>#REF!</v>
      </c>
    </row>
    <row r="1506">
      <c r="B1506" s="659" t="inlineStr">
        <is>
          <t>180084HYD</t>
        </is>
      </c>
      <c r="F1506" s="661" t="inlineStr">
        <is>
          <t>V DURABLENDMAHOGANY 44800</t>
        </is>
      </c>
      <c r="G1506" s="662" t="inlineStr">
        <is>
          <t>I</t>
        </is>
      </c>
      <c r="H1506" s="664" t="n">
        <v>1035</v>
      </c>
      <c r="I1506" s="665" t="n">
        <v>5.26</v>
      </c>
      <c r="L1506" s="663" t="e">
        <v>#REF!</v>
      </c>
    </row>
    <row r="1507">
      <c r="B1507" s="659" t="inlineStr">
        <is>
          <t>180224HYD</t>
        </is>
      </c>
      <c r="F1507" s="675" t="inlineStr">
        <is>
          <t>V  DURABLEND(22603) BROWN 30605</t>
        </is>
      </c>
      <c r="H1507" s="664" t="n">
        <v>1035</v>
      </c>
      <c r="I1507" s="665" t="n">
        <v>5.62</v>
      </c>
      <c r="L1507" s="663" t="e">
        <v>#REF!</v>
      </c>
    </row>
    <row r="1508">
      <c r="B1508" s="659" t="inlineStr">
        <is>
          <t>180225HYD</t>
        </is>
      </c>
      <c r="F1508" s="675" t="inlineStr">
        <is>
          <t xml:space="preserve">V VINYL(22603) BROWN 30605 </t>
        </is>
      </c>
      <c r="H1508" s="664" t="n">
        <v>1035</v>
      </c>
      <c r="I1508" s="665" t="n">
        <v>4.32</v>
      </c>
      <c r="L1508" s="663" t="e">
        <v>#REF!</v>
      </c>
    </row>
    <row r="1509">
      <c r="B1509" s="659" t="inlineStr">
        <is>
          <t>180075HYD</t>
        </is>
      </c>
      <c r="C1509" s="661" t="inlineStr">
        <is>
          <t>2120A</t>
        </is>
      </c>
      <c r="D1509" s="661" t="inlineStr">
        <is>
          <t>ANLI</t>
        </is>
      </c>
      <c r="E1509" s="661" t="inlineStr">
        <is>
          <t>RFRU</t>
        </is>
      </c>
      <c r="F1509" s="661" t="inlineStr">
        <is>
          <t>V DURABLENDSCARLETT92701/94601</t>
        </is>
      </c>
      <c r="G1509" s="662" t="inlineStr">
        <is>
          <t>I</t>
        </is>
      </c>
      <c r="H1509" s="664" t="n">
        <v>1035</v>
      </c>
      <c r="I1509" s="665" t="n">
        <v>5.33</v>
      </c>
      <c r="L1509" s="663" t="e">
        <v>#REF!</v>
      </c>
    </row>
    <row r="1510">
      <c r="B1510" s="659" t="inlineStr">
        <is>
          <t>180076HYD</t>
        </is>
      </c>
      <c r="C1510" s="661" t="inlineStr">
        <is>
          <t>2120A</t>
        </is>
      </c>
      <c r="D1510" s="661" t="inlineStr">
        <is>
          <t>ANLI</t>
        </is>
      </c>
      <c r="E1510" s="661" t="inlineStr">
        <is>
          <t>RFRU</t>
        </is>
      </c>
      <c r="F1510" s="661" t="inlineStr">
        <is>
          <t>V VINYLSCARLETT 92701/94601</t>
        </is>
      </c>
      <c r="G1510" s="662" t="inlineStr">
        <is>
          <t>I</t>
        </is>
      </c>
      <c r="H1510" s="664" t="n">
        <v>1006</v>
      </c>
      <c r="I1510" s="665" t="n">
        <v>4.06</v>
      </c>
      <c r="L1510" s="663" t="e">
        <v>#REF!</v>
      </c>
    </row>
    <row r="1511">
      <c r="B1511" s="659" t="n">
        <v>111542</v>
      </c>
      <c r="F1511" s="710" t="inlineStr">
        <is>
          <t>F ADLEY(XC293C)COFFEE 43800</t>
        </is>
      </c>
      <c r="H1511" s="664" t="n">
        <v>1002</v>
      </c>
      <c r="I1511" s="665" t="n">
        <v>2.27</v>
      </c>
      <c r="K1511" t="inlineStr">
        <is>
          <t>p007752</t>
        </is>
      </c>
      <c r="L1511" s="663" t="e">
        <v>#REF!</v>
      </c>
    </row>
    <row r="1512">
      <c r="B1512" s="659" t="n">
        <v>111601</v>
      </c>
      <c r="F1512" s="710" t="inlineStr">
        <is>
          <t>F HANNIN (J-316)SPICE 95801</t>
        </is>
      </c>
      <c r="G1512" s="675" t="n"/>
      <c r="H1512" s="664" t="n">
        <v>1002</v>
      </c>
      <c r="I1512" s="665" t="n">
        <v>2.2</v>
      </c>
      <c r="K1512" t="inlineStr">
        <is>
          <t>p007752</t>
        </is>
      </c>
      <c r="L1512" s="663" t="e">
        <v>#REF!</v>
      </c>
    </row>
    <row r="1513">
      <c r="B1513" s="659" t="n">
        <v>111603</v>
      </c>
      <c r="F1513" s="710" t="inlineStr">
        <is>
          <t>F HANNIN(J-316)STONE 95803</t>
        </is>
      </c>
      <c r="G1513" s="675" t="n"/>
      <c r="H1513" s="664" t="n">
        <v>1002</v>
      </c>
      <c r="I1513" s="665" t="n">
        <v>2.2</v>
      </c>
      <c r="K1513" t="inlineStr">
        <is>
          <t>p007752</t>
        </is>
      </c>
      <c r="L1513" s="663" t="e">
        <v>#REF!</v>
      </c>
    </row>
    <row r="1514">
      <c r="B1514" s="659" t="n">
        <v>111604</v>
      </c>
      <c r="F1514" s="710" t="inlineStr">
        <is>
          <t>F (J-316)LAGOON(AS-05) 95802</t>
        </is>
      </c>
      <c r="G1514" s="675" t="n"/>
      <c r="H1514" s="664" t="n">
        <v>1002</v>
      </c>
      <c r="I1514" s="665" t="n">
        <v>2.2</v>
      </c>
      <c r="K1514" t="inlineStr">
        <is>
          <t>p007752</t>
        </is>
      </c>
      <c r="L1514" s="663" t="e">
        <v>#REF!</v>
      </c>
    </row>
    <row r="1515">
      <c r="B1515" s="659" t="n">
        <v>111611</v>
      </c>
      <c r="F1515" s="710" t="inlineStr">
        <is>
          <t>F (SH2218C-A5)MINERAL 96901</t>
        </is>
      </c>
      <c r="G1515" s="675" t="n"/>
      <c r="H1515" s="664" t="n">
        <v>1002</v>
      </c>
      <c r="I1515" s="665" t="n">
        <v>3.29</v>
      </c>
      <c r="K1515" t="inlineStr">
        <is>
          <t>p007752</t>
        </is>
      </c>
      <c r="L1515" s="663" t="e">
        <v>#REF!</v>
      </c>
    </row>
    <row r="1516">
      <c r="B1516" s="659" t="n">
        <v>111612</v>
      </c>
      <c r="F1516" s="710" t="inlineStr">
        <is>
          <t>F HARLEQUINCRYSTAL 96901</t>
        </is>
      </c>
      <c r="G1516" s="675" t="n"/>
      <c r="H1516" s="664" t="n">
        <v>1160</v>
      </c>
      <c r="I1516" s="665" t="n">
        <v>9.09</v>
      </c>
      <c r="K1516" t="inlineStr">
        <is>
          <t>p007752</t>
        </is>
      </c>
      <c r="L1516" s="663" t="e">
        <v>#REF!</v>
      </c>
    </row>
    <row r="1517">
      <c r="B1517" s="659" t="inlineStr">
        <is>
          <t>111613PL</t>
        </is>
      </c>
      <c r="F1517" s="710" t="inlineStr">
        <is>
          <t>F DIAMOND(M9567)SAPPHIRE 96901</t>
        </is>
      </c>
      <c r="G1517" s="675" t="n"/>
      <c r="H1517" s="664" t="n">
        <v>1002</v>
      </c>
      <c r="I1517" s="665" t="n">
        <v>5.56</v>
      </c>
      <c r="K1517" t="inlineStr">
        <is>
          <t>p007752</t>
        </is>
      </c>
      <c r="L1517" s="663" t="e">
        <v>#REF!</v>
      </c>
    </row>
    <row r="1518">
      <c r="B1518" s="659" t="n">
        <v>111614</v>
      </c>
      <c r="F1518" s="710" t="inlineStr">
        <is>
          <t>F LIVY(ELIZABETH)NAVY 46400</t>
        </is>
      </c>
      <c r="G1518" s="675" t="n"/>
      <c r="H1518" s="664" t="n">
        <v>1117</v>
      </c>
      <c r="I1518" s="665" t="n">
        <v>3.08</v>
      </c>
      <c r="K1518" t="inlineStr">
        <is>
          <t>p007752</t>
        </is>
      </c>
      <c r="L1518" s="663" t="e">
        <v>#REF!</v>
      </c>
    </row>
    <row r="1519">
      <c r="B1519" s="659" t="n">
        <v>111615</v>
      </c>
      <c r="F1519" s="710" t="inlineStr">
        <is>
          <t>F ZIG ZAG(T11074)INDIGO 46400</t>
        </is>
      </c>
      <c r="G1519" s="675" t="n"/>
      <c r="H1519" s="664" t="n">
        <v>1161</v>
      </c>
      <c r="I1519" s="665" t="n">
        <v>6.55</v>
      </c>
      <c r="K1519" t="inlineStr">
        <is>
          <t>p007752</t>
        </is>
      </c>
      <c r="L1519" s="663" t="e">
        <v>#REF!</v>
      </c>
    </row>
    <row r="1520">
      <c r="B1520" s="659" t="inlineStr">
        <is>
          <t>111618PL</t>
        </is>
      </c>
      <c r="F1520" s="710" t="inlineStr">
        <is>
          <t>F HIGH ENERGYCOBALT 19700</t>
        </is>
      </c>
      <c r="G1520" s="675" t="n"/>
      <c r="H1520" s="664" t="n">
        <v>1162</v>
      </c>
      <c r="I1520" s="665" t="n">
        <v>7.68</v>
      </c>
      <c r="K1520" t="inlineStr">
        <is>
          <t>p007752</t>
        </is>
      </c>
      <c r="L1520" s="663" t="e">
        <v>#REF!</v>
      </c>
    </row>
    <row r="1521">
      <c r="B1521" s="659" t="n">
        <v>111619</v>
      </c>
      <c r="F1521" s="710" t="inlineStr">
        <is>
          <t>F DELTACITY(PN310-C)RUST 19701</t>
        </is>
      </c>
      <c r="G1521" s="675" t="n"/>
      <c r="H1521" s="664" t="n">
        <v>1110</v>
      </c>
      <c r="I1521" s="665" t="n">
        <v>2.5</v>
      </c>
      <c r="K1521" t="inlineStr">
        <is>
          <t>p007752</t>
        </is>
      </c>
      <c r="L1521" s="663" t="e">
        <v>#REF!</v>
      </c>
    </row>
    <row r="1522">
      <c r="B1522" s="659" t="n">
        <v>111624</v>
      </c>
      <c r="F1522" s="710" t="inlineStr">
        <is>
          <t>F EAN (JE195)EGGPLANT 96201</t>
        </is>
      </c>
      <c r="G1522" s="675" t="n"/>
      <c r="H1522" s="664" t="n">
        <v>1002</v>
      </c>
      <c r="I1522" s="665" t="n">
        <v>2.49</v>
      </c>
      <c r="K1522" t="inlineStr">
        <is>
          <t>p007752</t>
        </is>
      </c>
      <c r="L1522" s="663" t="e">
        <v>#REF!</v>
      </c>
    </row>
    <row r="1523">
      <c r="B1523" s="659" t="n">
        <v>111625</v>
      </c>
      <c r="F1523" s="710" t="inlineStr">
        <is>
          <t>F AURELIANCALYPSO 96201</t>
        </is>
      </c>
      <c r="G1523" s="675" t="n"/>
      <c r="H1523" s="664" t="n">
        <v>1002</v>
      </c>
      <c r="I1523" s="665" t="n">
        <v>6.89</v>
      </c>
      <c r="K1523" t="inlineStr">
        <is>
          <t>p007752</t>
        </is>
      </c>
      <c r="L1523" s="663" t="e">
        <v>#REF!</v>
      </c>
    </row>
    <row r="1524">
      <c r="B1524" s="659" t="inlineStr">
        <is>
          <t>111645PL</t>
        </is>
      </c>
      <c r="F1524" s="710" t="inlineStr">
        <is>
          <t>F CURACAOHENNA 24700</t>
        </is>
      </c>
      <c r="G1524" s="675" t="n"/>
      <c r="H1524" s="664" t="n">
        <v>1039</v>
      </c>
      <c r="I1524" s="665" t="n">
        <v>6.36</v>
      </c>
      <c r="K1524" t="inlineStr">
        <is>
          <t>p007752</t>
        </is>
      </c>
      <c r="L1524" s="663" t="e">
        <v>#REF!</v>
      </c>
    </row>
    <row r="1525">
      <c r="B1525" s="659" t="n">
        <v>180287</v>
      </c>
      <c r="F1525" s="710" t="inlineStr">
        <is>
          <t>F PARKSTOWNBLACK 97107</t>
        </is>
      </c>
      <c r="G1525" s="675" t="n"/>
      <c r="H1525" s="664" t="n">
        <v>1163</v>
      </c>
      <c r="I1525" s="665" t="n">
        <v>4.62</v>
      </c>
      <c r="K1525" t="inlineStr">
        <is>
          <t>p007752</t>
        </is>
      </c>
      <c r="L1525" s="663" t="e">
        <v>#REF!</v>
      </c>
    </row>
    <row r="1526">
      <c r="B1526" s="659" t="n">
        <v>180288</v>
      </c>
      <c r="F1526" s="710" t="inlineStr">
        <is>
          <t>F PARKSTOWNBLACK 97107</t>
        </is>
      </c>
      <c r="G1526" s="675" t="n"/>
      <c r="H1526" s="664" t="n">
        <v>1164</v>
      </c>
      <c r="I1526" s="665" t="n">
        <v>3.89</v>
      </c>
      <c r="K1526" t="inlineStr">
        <is>
          <t>p007752</t>
        </is>
      </c>
      <c r="L1526" s="663" t="e">
        <v>#REF!</v>
      </c>
    </row>
    <row r="1527">
      <c r="B1527" s="659" t="n">
        <v>180289</v>
      </c>
      <c r="F1527" s="710" t="inlineStr">
        <is>
          <t>F HANNESBERGHARNESS 45001</t>
        </is>
      </c>
      <c r="G1527" s="675" t="n"/>
      <c r="H1527" s="664" t="n">
        <v>1165</v>
      </c>
      <c r="I1527" s="665" t="n">
        <v>4.55</v>
      </c>
      <c r="K1527" t="inlineStr">
        <is>
          <t>p007752</t>
        </is>
      </c>
      <c r="L1527" s="663" t="e">
        <v>#REF!</v>
      </c>
    </row>
    <row r="1528">
      <c r="B1528" s="659" t="n">
        <v>180290</v>
      </c>
      <c r="F1528" s="710" t="inlineStr">
        <is>
          <t>F NEBULACANYON 15600</t>
        </is>
      </c>
      <c r="G1528" s="675" t="n"/>
      <c r="H1528" s="664" t="n">
        <v>1163</v>
      </c>
      <c r="I1528" s="665" t="n">
        <v>4.62</v>
      </c>
      <c r="K1528" t="inlineStr">
        <is>
          <t>p007752</t>
        </is>
      </c>
      <c r="L1528" s="663" t="e">
        <v>#REF!</v>
      </c>
    </row>
    <row r="1529">
      <c r="B1529" s="659" t="n">
        <v>180291</v>
      </c>
      <c r="F1529" s="710" t="inlineStr">
        <is>
          <t>F NEBULACANYON 15600</t>
        </is>
      </c>
      <c r="G1529" s="675" t="n"/>
      <c r="H1529" s="664" t="n">
        <v>1164</v>
      </c>
      <c r="I1529" s="665" t="n">
        <v>3.89</v>
      </c>
      <c r="K1529" t="inlineStr">
        <is>
          <t>p007752</t>
        </is>
      </c>
      <c r="L1529" s="663" t="e">
        <v>#REF!</v>
      </c>
    </row>
    <row r="1530">
      <c r="B1530" s="659" t="inlineStr">
        <is>
          <t>180063HYD</t>
        </is>
      </c>
      <c r="C1530" s="661" t="inlineStr">
        <is>
          <t>2103A</t>
        </is>
      </c>
      <c r="D1530" s="661" t="inlineStr">
        <is>
          <t>HEXIN</t>
        </is>
      </c>
      <c r="E1530" s="661" t="inlineStr">
        <is>
          <t>RFRU</t>
        </is>
      </c>
      <c r="F1530" s="661" t="inlineStr">
        <is>
          <t>V DURABLENDANTIQUE 21300/99200</t>
        </is>
      </c>
      <c r="G1530" s="662" t="inlineStr">
        <is>
          <t>I</t>
        </is>
      </c>
      <c r="H1530" s="664" t="n">
        <v>1035</v>
      </c>
      <c r="I1530" s="665" t="n">
        <v>5.01</v>
      </c>
      <c r="L1530" s="663" t="e">
        <v>#REF!</v>
      </c>
    </row>
    <row r="1531">
      <c r="B1531" s="659" t="inlineStr">
        <is>
          <t>180064HYD</t>
        </is>
      </c>
      <c r="C1531" s="661" t="inlineStr">
        <is>
          <t>2103A</t>
        </is>
      </c>
      <c r="D1531" s="661" t="inlineStr">
        <is>
          <t>HEXIN</t>
        </is>
      </c>
      <c r="E1531" s="661" t="inlineStr">
        <is>
          <t>RFRU</t>
        </is>
      </c>
      <c r="F1531" s="661" t="inlineStr">
        <is>
          <t>V VINYLANTIQUE 21300/99200</t>
        </is>
      </c>
      <c r="G1531" s="662" t="inlineStr">
        <is>
          <t>I</t>
        </is>
      </c>
      <c r="H1531" s="664" t="n">
        <v>1035</v>
      </c>
      <c r="I1531" s="665" t="n">
        <v>3.76</v>
      </c>
      <c r="L1531" s="663" t="e">
        <v>#REF!</v>
      </c>
    </row>
    <row r="1532">
      <c r="B1532" s="678" t="inlineStr">
        <is>
          <t>180226HYD</t>
        </is>
      </c>
      <c r="F1532" s="675" t="inlineStr">
        <is>
          <t>V DURABLENDRUST 41001</t>
        </is>
      </c>
      <c r="H1532" s="664" t="n">
        <v>1035</v>
      </c>
      <c r="I1532" s="665" t="n">
        <v>4.93</v>
      </c>
      <c r="L1532" s="663" t="e">
        <v>#REF!</v>
      </c>
    </row>
    <row r="1533">
      <c r="B1533" s="659" t="inlineStr">
        <is>
          <t>111002HYD</t>
        </is>
      </c>
      <c r="C1533" s="661" t="inlineStr">
        <is>
          <t>2117A</t>
        </is>
      </c>
      <c r="D1533" s="661" t="inlineStr">
        <is>
          <t>FENGRUN</t>
        </is>
      </c>
      <c r="E1533" s="661" t="inlineStr">
        <is>
          <t>RFRU</t>
        </is>
      </c>
      <c r="F1533" s="661" t="inlineStr">
        <is>
          <t>F VINYLSEDONA39200</t>
        </is>
      </c>
      <c r="G1533" s="662" t="inlineStr">
        <is>
          <t>I</t>
        </is>
      </c>
      <c r="H1533" s="664" t="n">
        <v>1035</v>
      </c>
      <c r="I1533" s="665" t="n">
        <v>4.2</v>
      </c>
      <c r="K1533" t="inlineStr">
        <is>
          <t>P008103</t>
        </is>
      </c>
      <c r="L1533" s="663" t="e">
        <v>#REF!</v>
      </c>
    </row>
    <row r="1534">
      <c r="B1534" s="659" t="inlineStr">
        <is>
          <t>111027HYD</t>
        </is>
      </c>
      <c r="C1534" s="661" t="inlineStr">
        <is>
          <t>2117A</t>
        </is>
      </c>
      <c r="D1534" s="661" t="inlineStr">
        <is>
          <t>FENGRUN</t>
        </is>
      </c>
      <c r="E1534" s="661" t="inlineStr">
        <is>
          <t>RFRU</t>
        </is>
      </c>
      <c r="F1534" s="661" t="inlineStr">
        <is>
          <t>F PU JAVE 12300</t>
        </is>
      </c>
      <c r="G1534" s="662" t="inlineStr">
        <is>
          <t>I</t>
        </is>
      </c>
      <c r="H1534" s="664" t="n">
        <v>1035</v>
      </c>
      <c r="I1534" s="665" t="n">
        <v>3.55</v>
      </c>
      <c r="K1534" t="inlineStr">
        <is>
          <t>P008103</t>
        </is>
      </c>
      <c r="L1534" s="663" t="e">
        <v>#REF!</v>
      </c>
    </row>
    <row r="1535">
      <c r="B1535" s="678" t="inlineStr">
        <is>
          <t>180272HYD</t>
        </is>
      </c>
      <c r="F1535" s="699" t="inlineStr">
        <is>
          <t>F DURABLENDTAUPE 27000</t>
        </is>
      </c>
      <c r="H1535" s="664" t="n">
        <v>1035</v>
      </c>
      <c r="I1535" s="665" t="n">
        <v>5.01</v>
      </c>
      <c r="K1535" t="inlineStr">
        <is>
          <t>P008103</t>
        </is>
      </c>
      <c r="L1535" s="663" t="e">
        <v>#REF!</v>
      </c>
    </row>
    <row r="1536">
      <c r="B1536" s="678" t="inlineStr">
        <is>
          <t>180273HYD</t>
        </is>
      </c>
      <c r="F1536" s="699" t="inlineStr">
        <is>
          <t>F PUTAUPE 27000</t>
        </is>
      </c>
      <c r="H1536" s="664" t="n">
        <v>1035</v>
      </c>
      <c r="I1536" s="665" t="n">
        <v>3.74</v>
      </c>
      <c r="K1536" t="inlineStr">
        <is>
          <t>P008103</t>
        </is>
      </c>
      <c r="L1536" s="663" t="e">
        <v>#REF!</v>
      </c>
    </row>
    <row r="1537">
      <c r="B1537" s="678" t="inlineStr">
        <is>
          <t>180274HYD</t>
        </is>
      </c>
      <c r="F1537" s="699" t="inlineStr">
        <is>
          <t>F DURABLENDQUARRY 27001</t>
        </is>
      </c>
      <c r="H1537" s="664" t="n">
        <v>1035</v>
      </c>
      <c r="I1537" s="665" t="n">
        <v>5.01</v>
      </c>
      <c r="K1537" t="inlineStr">
        <is>
          <t>P008103</t>
        </is>
      </c>
      <c r="L1537" s="663" t="e">
        <v>#REF!</v>
      </c>
    </row>
    <row r="1538">
      <c r="B1538" s="678" t="inlineStr">
        <is>
          <t>180275HYD</t>
        </is>
      </c>
      <c r="F1538" s="699" t="inlineStr">
        <is>
          <t>F PUQUARRY 27001</t>
        </is>
      </c>
      <c r="H1538" s="664" t="n">
        <v>1035</v>
      </c>
      <c r="I1538" s="665" t="n">
        <v>3.74</v>
      </c>
      <c r="K1538" t="inlineStr">
        <is>
          <t>P008103</t>
        </is>
      </c>
      <c r="L1538" s="663" t="e">
        <v>#REF!</v>
      </c>
    </row>
    <row r="1539">
      <c r="B1539" s="678" t="inlineStr">
        <is>
          <t xml:space="preserve">180089HYD </t>
        </is>
      </c>
      <c r="F1539" s="682" t="inlineStr">
        <is>
          <t>V VINYLNATURAL 46802/45401</t>
        </is>
      </c>
      <c r="G1539" s="662" t="n"/>
      <c r="H1539" s="664" t="n">
        <v>1006</v>
      </c>
      <c r="I1539" s="665" t="n">
        <v>4.32</v>
      </c>
      <c r="L1539" s="663" t="e">
        <v>#REF!</v>
      </c>
    </row>
    <row r="1540">
      <c r="B1540" s="659" t="inlineStr">
        <is>
          <t>180138HYD</t>
        </is>
      </c>
      <c r="C1540" s="661" t="inlineStr">
        <is>
          <t>2107A</t>
        </is>
      </c>
      <c r="D1540" s="661" t="inlineStr">
        <is>
          <t>DONG TAI</t>
        </is>
      </c>
      <c r="E1540" s="661" t="inlineStr">
        <is>
          <t>RFRU</t>
        </is>
      </c>
      <c r="F1540" s="661" t="inlineStr">
        <is>
          <t>V DURABLEND GARNET 76100</t>
        </is>
      </c>
      <c r="G1540" s="662" t="inlineStr">
        <is>
          <t>I</t>
        </is>
      </c>
      <c r="H1540" s="664" t="n">
        <v>1035</v>
      </c>
      <c r="I1540" s="665" t="n">
        <v>5.26</v>
      </c>
      <c r="L1540" s="663" t="e">
        <v>#REF!</v>
      </c>
    </row>
    <row r="1541">
      <c r="B1541" s="659" t="inlineStr">
        <is>
          <t>180139HYD</t>
        </is>
      </c>
      <c r="C1541" s="661" t="inlineStr">
        <is>
          <t>2107A</t>
        </is>
      </c>
      <c r="D1541" s="661" t="inlineStr">
        <is>
          <t>DONG TAI</t>
        </is>
      </c>
      <c r="E1541" s="661" t="inlineStr">
        <is>
          <t>RFRU</t>
        </is>
      </c>
      <c r="F1541" s="661" t="inlineStr">
        <is>
          <t>V VINYL GARNET 76100</t>
        </is>
      </c>
      <c r="G1541" s="662" t="inlineStr">
        <is>
          <t>I</t>
        </is>
      </c>
      <c r="H1541" s="664" t="n">
        <v>1035</v>
      </c>
      <c r="I1541" s="665" t="n">
        <v>3.99</v>
      </c>
      <c r="L1541" s="663" t="e">
        <v>#REF!</v>
      </c>
    </row>
    <row r="1542">
      <c r="B1542" s="659" t="inlineStr">
        <is>
          <t>180116HYD</t>
        </is>
      </c>
      <c r="C1542" s="661" t="inlineStr">
        <is>
          <t>2118A</t>
        </is>
      </c>
      <c r="D1542" s="661" t="inlineStr">
        <is>
          <t>LONGXIANG</t>
        </is>
      </c>
      <c r="E1542" s="661" t="inlineStr">
        <is>
          <t>RFRU</t>
        </is>
      </c>
      <c r="F1542" s="661" t="inlineStr">
        <is>
          <t>V DURABLENDREDWOOD 40900/42601</t>
        </is>
      </c>
      <c r="G1542" s="662" t="inlineStr">
        <is>
          <t>I</t>
        </is>
      </c>
      <c r="H1542" s="664" t="n">
        <v>1035</v>
      </c>
      <c r="I1542" s="665" t="n">
        <v>5.87</v>
      </c>
      <c r="K1542" t="inlineStr">
        <is>
          <t>P008113</t>
        </is>
      </c>
      <c r="L1542" s="663" t="e">
        <v>#REF!</v>
      </c>
    </row>
    <row r="1543">
      <c r="B1543" s="667" t="inlineStr">
        <is>
          <t>111001HYD</t>
        </is>
      </c>
      <c r="C1543" s="668" t="inlineStr">
        <is>
          <t>2117A</t>
        </is>
      </c>
      <c r="D1543" s="668" t="inlineStr">
        <is>
          <t>FENGRUN</t>
        </is>
      </c>
      <c r="E1543" s="668" t="inlineStr">
        <is>
          <t>RFRU</t>
        </is>
      </c>
      <c r="F1543" s="668" t="inlineStr">
        <is>
          <t>F DEL RIO DURABLENDSEDONA39200</t>
        </is>
      </c>
      <c r="G1543" s="669" t="inlineStr">
        <is>
          <t>I</t>
        </is>
      </c>
      <c r="H1543" s="664" t="n">
        <v>1035</v>
      </c>
      <c r="I1543" s="665" t="n">
        <v>5.48</v>
      </c>
      <c r="K1543" t="inlineStr">
        <is>
          <t>P008191</t>
        </is>
      </c>
      <c r="L1543" s="663" t="e">
        <v>#REF!</v>
      </c>
    </row>
    <row r="1544">
      <c r="B1544" s="659" t="inlineStr">
        <is>
          <t>111026HYD</t>
        </is>
      </c>
      <c r="C1544" s="661" t="inlineStr">
        <is>
          <t>2117A</t>
        </is>
      </c>
      <c r="D1544" s="661" t="inlineStr">
        <is>
          <t>FENGRUN</t>
        </is>
      </c>
      <c r="E1544" s="661" t="inlineStr">
        <is>
          <t>RFRU</t>
        </is>
      </c>
      <c r="F1544" s="661" t="inlineStr">
        <is>
          <t>F JORDON DURABLENDJAVE 12300</t>
        </is>
      </c>
      <c r="G1544" s="662" t="inlineStr">
        <is>
          <t>I</t>
        </is>
      </c>
      <c r="H1544" s="664" t="n">
        <v>1035</v>
      </c>
      <c r="I1544" s="665" t="n">
        <v>4.86</v>
      </c>
      <c r="K1544" t="inlineStr">
        <is>
          <t>P008191</t>
        </is>
      </c>
      <c r="L1544" s="663" t="e">
        <v>#REF!</v>
      </c>
    </row>
    <row r="1545">
      <c r="B1545" s="659" t="inlineStr">
        <is>
          <t>180131HYD</t>
        </is>
      </c>
      <c r="C1545" s="661" t="inlineStr">
        <is>
          <t>2120A</t>
        </is>
      </c>
      <c r="D1545" s="661" t="inlineStr">
        <is>
          <t>ANLI</t>
        </is>
      </c>
      <c r="E1545" s="661" t="inlineStr">
        <is>
          <t>RFRU</t>
        </is>
      </c>
      <c r="F1545" s="661" t="inlineStr">
        <is>
          <t>V VINYLANTIQUE 96300</t>
        </is>
      </c>
      <c r="G1545" s="662" t="inlineStr">
        <is>
          <t>I</t>
        </is>
      </c>
      <c r="H1545" s="664" t="n">
        <v>1006</v>
      </c>
      <c r="I1545" s="665" t="n">
        <v>3.93</v>
      </c>
      <c r="K1545" t="inlineStr">
        <is>
          <t>P008096</t>
        </is>
      </c>
      <c r="L1545" s="663" t="e">
        <v>#REF!</v>
      </c>
    </row>
    <row r="1546">
      <c r="B1546" s="679" t="inlineStr">
        <is>
          <t>180186HYD</t>
        </is>
      </c>
      <c r="F1546" s="680" t="inlineStr">
        <is>
          <t xml:space="preserve">V KNOX VINYLCOFFEE 13200 </t>
        </is>
      </c>
      <c r="G1546" s="662" t="n"/>
      <c r="H1546" s="664" t="n">
        <v>1035</v>
      </c>
      <c r="I1546" s="665" t="n">
        <v>3.84</v>
      </c>
      <c r="L1546" s="663" t="e">
        <v>#REF!</v>
      </c>
    </row>
    <row r="1547">
      <c r="B1547" s="659" t="inlineStr">
        <is>
          <t>180142HYD</t>
        </is>
      </c>
      <c r="C1547" s="661" t="inlineStr">
        <is>
          <t>2117A</t>
        </is>
      </c>
      <c r="D1547" s="661" t="inlineStr">
        <is>
          <t>FENGRUN</t>
        </is>
      </c>
      <c r="E1547" s="661" t="inlineStr">
        <is>
          <t>RFRU</t>
        </is>
      </c>
      <c r="F1547" s="661" t="inlineStr">
        <is>
          <t>F GAMBLER DURABLENDSEDONA73203</t>
        </is>
      </c>
      <c r="G1547" s="662" t="inlineStr">
        <is>
          <t>I</t>
        </is>
      </c>
      <c r="H1547" s="664" t="n">
        <v>1035</v>
      </c>
      <c r="I1547" s="665" t="n">
        <v>4.73</v>
      </c>
      <c r="L1547" s="663" t="e">
        <v>#REF!</v>
      </c>
    </row>
    <row r="1548">
      <c r="B1548" s="678" t="inlineStr">
        <is>
          <t>180253HYD</t>
        </is>
      </c>
      <c r="F1548" s="675" t="inlineStr">
        <is>
          <t>F DURABLEND BARK 23300</t>
        </is>
      </c>
      <c r="H1548" s="664" t="n">
        <v>1035</v>
      </c>
      <c r="I1548" s="665" t="n">
        <v>6.13</v>
      </c>
      <c r="L1548" s="663" t="e">
        <v>#REF!</v>
      </c>
    </row>
    <row r="1549">
      <c r="B1549" s="678" t="inlineStr">
        <is>
          <t>180254HYD</t>
        </is>
      </c>
      <c r="F1549" s="675" t="inlineStr">
        <is>
          <t>V VINYL BARK 23300</t>
        </is>
      </c>
      <c r="H1549" s="664" t="n">
        <v>1035</v>
      </c>
      <c r="I1549" s="665" t="n">
        <v>4.83</v>
      </c>
      <c r="L1549" s="663" t="e">
        <v>#REF!</v>
      </c>
    </row>
    <row r="1550">
      <c r="B1550" s="678" t="inlineStr">
        <is>
          <t>180185HYD</t>
        </is>
      </c>
      <c r="F1550" s="682" t="inlineStr">
        <is>
          <t>V KNOX DURABLENDCOFFEE 13200</t>
        </is>
      </c>
      <c r="G1550" s="662" t="n"/>
      <c r="H1550" s="664" t="n">
        <v>1035</v>
      </c>
      <c r="I1550" s="665" t="n">
        <v>5.12</v>
      </c>
      <c r="L1550" s="663" t="e">
        <v>#REF!</v>
      </c>
    </row>
    <row r="1551">
      <c r="B1551" s="659" t="inlineStr">
        <is>
          <t>180117HYD</t>
        </is>
      </c>
      <c r="C1551" s="661" t="inlineStr">
        <is>
          <t>2118A</t>
        </is>
      </c>
      <c r="D1551" s="661" t="inlineStr">
        <is>
          <t>LONGXIANG</t>
        </is>
      </c>
      <c r="E1551" s="661" t="inlineStr">
        <is>
          <t>RFRU</t>
        </is>
      </c>
      <c r="F1551" s="661" t="inlineStr">
        <is>
          <t>V VINYLREDWOOD 40900/42601</t>
        </is>
      </c>
      <c r="G1551" s="662" t="inlineStr">
        <is>
          <t>I</t>
        </is>
      </c>
      <c r="H1551" s="664" t="n">
        <v>1035</v>
      </c>
      <c r="I1551" s="665" t="n">
        <v>4.57</v>
      </c>
      <c r="L1551" s="663" t="e">
        <v>#REF!</v>
      </c>
    </row>
    <row r="1552">
      <c r="B1552" s="659" t="inlineStr">
        <is>
          <t>180082HYD</t>
        </is>
      </c>
      <c r="C1552" s="661" t="inlineStr">
        <is>
          <t>2115A</t>
        </is>
      </c>
      <c r="D1552" s="661" t="inlineStr">
        <is>
          <t>KANG DA</t>
        </is>
      </c>
      <c r="E1552" s="661" t="inlineStr">
        <is>
          <t>RFRU</t>
        </is>
      </c>
      <c r="F1552" s="675" t="inlineStr">
        <is>
          <t xml:space="preserve">V MARLO MAHOGANY59401/50300 </t>
        </is>
      </c>
      <c r="G1552" s="662" t="inlineStr">
        <is>
          <t>I</t>
        </is>
      </c>
      <c r="H1552" s="664" t="n">
        <v>1035</v>
      </c>
      <c r="I1552" s="665" t="n">
        <v>3.98</v>
      </c>
      <c r="L1552" s="663" t="e">
        <v>#REF!</v>
      </c>
    </row>
    <row r="1553">
      <c r="B1553" s="659" t="inlineStr">
        <is>
          <t>180086HYD</t>
        </is>
      </c>
      <c r="C1553" s="661" t="inlineStr">
        <is>
          <t>2117A</t>
        </is>
      </c>
      <c r="D1553" s="661" t="inlineStr">
        <is>
          <t>FENGRUN</t>
        </is>
      </c>
      <c r="E1553" s="661" t="inlineStr">
        <is>
          <t>RFRU</t>
        </is>
      </c>
      <c r="F1553" s="661" t="inlineStr">
        <is>
          <t>V DURABLENDBRINDLE 468/45100</t>
        </is>
      </c>
      <c r="G1553" s="662" t="inlineStr">
        <is>
          <t>I</t>
        </is>
      </c>
      <c r="H1553" s="664" t="n">
        <v>1035</v>
      </c>
      <c r="I1553" s="665" t="n">
        <v>5.52</v>
      </c>
      <c r="L1553" s="663" t="e">
        <v>#REF!</v>
      </c>
    </row>
    <row r="1554">
      <c r="B1554" s="659" t="inlineStr">
        <is>
          <t>180087HYD</t>
        </is>
      </c>
      <c r="C1554" s="661" t="inlineStr">
        <is>
          <t>2117A</t>
        </is>
      </c>
      <c r="D1554" s="661" t="inlineStr">
        <is>
          <t>FENGRUN</t>
        </is>
      </c>
      <c r="E1554" s="661" t="inlineStr">
        <is>
          <t>RFRU</t>
        </is>
      </c>
      <c r="F1554" s="661" t="inlineStr">
        <is>
          <t>V VINYLBRINDLE 468/45100</t>
        </is>
      </c>
      <c r="G1554" s="662" t="inlineStr">
        <is>
          <t>I</t>
        </is>
      </c>
      <c r="H1554" s="664" t="n">
        <v>1035</v>
      </c>
      <c r="I1554" s="665" t="n">
        <v>4.25</v>
      </c>
      <c r="L1554" s="663" t="e">
        <v>#REF!</v>
      </c>
    </row>
    <row r="1555">
      <c r="B1555" s="678" t="inlineStr">
        <is>
          <t>180088HYD</t>
        </is>
      </c>
      <c r="F1555" s="682" t="inlineStr">
        <is>
          <t>V DURABLENDNATURAL 46802/45401</t>
        </is>
      </c>
      <c r="G1555" s="662" t="n"/>
      <c r="H1555" s="664" t="n">
        <v>1035</v>
      </c>
      <c r="I1555" s="665" t="n">
        <v>5.58</v>
      </c>
      <c r="L1555" s="663" t="e">
        <v>#REF!</v>
      </c>
    </row>
    <row r="1556">
      <c r="B1556" s="659" t="inlineStr">
        <is>
          <t>180140HYD</t>
        </is>
      </c>
      <c r="C1556" s="661" t="inlineStr">
        <is>
          <t>2107A</t>
        </is>
      </c>
      <c r="D1556" s="661" t="inlineStr">
        <is>
          <t>DONG TAI</t>
        </is>
      </c>
      <c r="E1556" s="661" t="inlineStr">
        <is>
          <t>RFRU</t>
        </is>
      </c>
      <c r="F1556" s="661" t="inlineStr">
        <is>
          <t>V DURABLEND SLATE 76102</t>
        </is>
      </c>
      <c r="G1556" s="662" t="inlineStr">
        <is>
          <t>I</t>
        </is>
      </c>
      <c r="H1556" s="664" t="n">
        <v>1035</v>
      </c>
      <c r="I1556" s="665" t="n">
        <v>4.51</v>
      </c>
      <c r="L1556" s="663" t="e">
        <v>#REF!</v>
      </c>
    </row>
    <row r="1557">
      <c r="B1557" s="659" t="inlineStr">
        <is>
          <t>180141HYD</t>
        </is>
      </c>
      <c r="C1557" s="661" t="inlineStr">
        <is>
          <t>2107A</t>
        </is>
      </c>
      <c r="D1557" s="661" t="inlineStr">
        <is>
          <t>DONG TAI</t>
        </is>
      </c>
      <c r="E1557" s="661" t="inlineStr">
        <is>
          <t>RFRU</t>
        </is>
      </c>
      <c r="F1557" s="661" t="inlineStr">
        <is>
          <t>V VINYL SLATE 76102</t>
        </is>
      </c>
      <c r="G1557" s="662" t="inlineStr">
        <is>
          <t>I</t>
        </is>
      </c>
      <c r="H1557" s="664" t="n">
        <v>1035</v>
      </c>
      <c r="I1557" s="665" t="n">
        <v>3.96</v>
      </c>
      <c r="L1557" s="663" t="e">
        <v>#REF!</v>
      </c>
    </row>
    <row r="1558">
      <c r="B1558" s="678" t="n">
        <v>100828</v>
      </c>
      <c r="F1558" s="685" t="inlineStr">
        <is>
          <t>JK ZIPPER CHAIN WITH SLIDE -5# -BLACK -42,5"</t>
        </is>
      </c>
      <c r="H1558" s="664" t="n">
        <v>1109</v>
      </c>
      <c r="I1558" s="665" t="n">
        <v>0.2023</v>
      </c>
      <c r="J1558" s="666" t="inlineStr">
        <is>
          <t>EA</t>
        </is>
      </c>
      <c r="L1558" s="663" t="e">
        <v>#REF!</v>
      </c>
    </row>
    <row r="1559">
      <c r="B1559" s="678" t="n">
        <v>100881</v>
      </c>
      <c r="F1559" s="675" t="inlineStr">
        <is>
          <t>HIDDEN ZIPPER 17.5 IN BEIGE</t>
        </is>
      </c>
      <c r="H1559" s="664" t="n">
        <v>1109</v>
      </c>
      <c r="I1559" s="665" t="n">
        <v>0.0674</v>
      </c>
      <c r="J1559" s="666" t="inlineStr">
        <is>
          <t>EA</t>
        </is>
      </c>
      <c r="L1559" s="663" t="e">
        <v>#REF!</v>
      </c>
    </row>
    <row r="1560">
      <c r="B1560" s="678" t="inlineStr">
        <is>
          <t>180211HYD</t>
        </is>
      </c>
      <c r="F1560" s="682" t="inlineStr">
        <is>
          <t xml:space="preserve">V  PUBLACK 10603 </t>
        </is>
      </c>
      <c r="G1560" s="662" t="n"/>
      <c r="H1560" s="664" t="n">
        <v>1035</v>
      </c>
      <c r="I1560" s="665" t="n">
        <v>4.03</v>
      </c>
      <c r="L1560" s="663" t="e">
        <v>#REF!</v>
      </c>
    </row>
    <row r="1561">
      <c r="B1561" s="678" t="n">
        <v>101095</v>
      </c>
      <c r="F1561" s="700" t="inlineStr">
        <is>
          <t>FRINGE CRIMSON KOALA 29300</t>
        </is>
      </c>
      <c r="H1561" s="664" t="n">
        <v>1038</v>
      </c>
      <c r="I1561" s="665" t="n">
        <v>0.49</v>
      </c>
      <c r="J1561" s="666" t="inlineStr">
        <is>
          <t>M</t>
        </is>
      </c>
      <c r="K1561" t="inlineStr">
        <is>
          <t>p008323</t>
        </is>
      </c>
      <c r="L1561" s="663" t="e">
        <v>#REF!</v>
      </c>
    </row>
    <row r="1562">
      <c r="B1562" s="678" t="inlineStr">
        <is>
          <t>180257HYD</t>
        </is>
      </c>
      <c r="F1562" s="675" t="inlineStr">
        <is>
          <t>F MIKKEL-PU COCOA 23400</t>
        </is>
      </c>
      <c r="H1562" s="664" t="n">
        <v>1035</v>
      </c>
      <c r="I1562" s="665" t="n">
        <v>5</v>
      </c>
      <c r="K1562" t="inlineStr">
        <is>
          <t>P008354</t>
        </is>
      </c>
      <c r="L1562" s="663" t="e">
        <v>#REF!</v>
      </c>
    </row>
    <row r="1563">
      <c r="B1563" s="659" t="inlineStr">
        <is>
          <t>180077HYD</t>
        </is>
      </c>
      <c r="C1563" s="661" t="inlineStr">
        <is>
          <t>2103A</t>
        </is>
      </c>
      <c r="D1563" s="661" t="inlineStr">
        <is>
          <t>HEXIN</t>
        </is>
      </c>
      <c r="E1563" s="661" t="inlineStr">
        <is>
          <t>RFRU</t>
        </is>
      </c>
      <c r="F1563" s="661" t="inlineStr">
        <is>
          <t>V DURABLENDIVORY 92702/94602</t>
        </is>
      </c>
      <c r="G1563" s="662" t="inlineStr">
        <is>
          <t>I</t>
        </is>
      </c>
      <c r="H1563" s="664" t="n">
        <v>1035</v>
      </c>
      <c r="I1563" s="665" t="n">
        <v>5.79</v>
      </c>
      <c r="K1563" t="inlineStr">
        <is>
          <t>P008354</t>
        </is>
      </c>
      <c r="L1563" s="663" t="e">
        <v>#REF!</v>
      </c>
    </row>
    <row r="1564">
      <c r="B1564" s="659" t="inlineStr">
        <is>
          <t>180078HYD</t>
        </is>
      </c>
      <c r="C1564" s="661" t="inlineStr">
        <is>
          <t>2103A</t>
        </is>
      </c>
      <c r="D1564" s="661" t="inlineStr">
        <is>
          <t>HEXIN</t>
        </is>
      </c>
      <c r="E1564" s="661" t="inlineStr">
        <is>
          <t>RFRU</t>
        </is>
      </c>
      <c r="F1564" s="661" t="inlineStr">
        <is>
          <t>V VINYLIVORY 92702/94602</t>
        </is>
      </c>
      <c r="G1564" s="662" t="inlineStr">
        <is>
          <t>I</t>
        </is>
      </c>
      <c r="H1564" s="664" t="n">
        <v>1006</v>
      </c>
      <c r="I1564" s="665" t="n">
        <v>4.49</v>
      </c>
      <c r="K1564" t="inlineStr">
        <is>
          <t>P008354</t>
        </is>
      </c>
      <c r="L1564" s="663" t="e">
        <v>#REF!</v>
      </c>
    </row>
    <row r="1565">
      <c r="B1565" s="678" t="inlineStr">
        <is>
          <t>180261HYD</t>
        </is>
      </c>
      <c r="F1565" s="675" t="inlineStr">
        <is>
          <t>V VINYL(DTP-327-5)ESPRESSO 21400</t>
        </is>
      </c>
      <c r="H1565" s="664" t="n">
        <v>1035</v>
      </c>
      <c r="I1565" s="665" t="n">
        <v>4.43</v>
      </c>
      <c r="L1565" s="663" t="e">
        <v>#REF!</v>
      </c>
    </row>
    <row r="1566">
      <c r="B1566" s="659" t="inlineStr">
        <is>
          <t>180130HYD</t>
        </is>
      </c>
      <c r="C1566" s="661" t="inlineStr">
        <is>
          <t>2120A</t>
        </is>
      </c>
      <c r="D1566" s="661" t="inlineStr">
        <is>
          <t>ANLI</t>
        </is>
      </c>
      <c r="E1566" s="661" t="inlineStr">
        <is>
          <t>RFRU</t>
        </is>
      </c>
      <c r="F1566" s="661" t="inlineStr">
        <is>
          <t>V DURABLENDANTIQUE 96300</t>
        </is>
      </c>
      <c r="G1566" s="662" t="inlineStr">
        <is>
          <t>I</t>
        </is>
      </c>
      <c r="H1566" s="664" t="n">
        <v>1035</v>
      </c>
      <c r="I1566" s="665" t="n">
        <v>5.23</v>
      </c>
      <c r="K1566" t="inlineStr">
        <is>
          <t>P008340</t>
        </is>
      </c>
      <c r="L1566" s="663" t="e">
        <v>#REF!</v>
      </c>
    </row>
    <row r="1567">
      <c r="B1567" s="678" t="n">
        <v>100397</v>
      </c>
      <c r="F1567" s="675" t="inlineStr">
        <is>
          <t>FEATHER 27" SQ</t>
        </is>
      </c>
      <c r="H1567" s="664" t="n">
        <v>1090</v>
      </c>
      <c r="I1567" s="665" t="n">
        <v>4.35</v>
      </c>
      <c r="L1567" s="663" t="e">
        <v>#REF!</v>
      </c>
    </row>
    <row r="1568">
      <c r="B1568" s="659" t="inlineStr">
        <is>
          <t>180073HYD</t>
        </is>
      </c>
      <c r="C1568" s="661" t="inlineStr">
        <is>
          <t>2103A</t>
        </is>
      </c>
      <c r="D1568" s="661" t="inlineStr">
        <is>
          <t>HEXIN</t>
        </is>
      </c>
      <c r="E1568" s="661" t="inlineStr">
        <is>
          <t>RFRU</t>
        </is>
      </c>
      <c r="F1568" s="661" t="inlineStr">
        <is>
          <t>V VINYLSIENNA 23701/94000</t>
        </is>
      </c>
      <c r="G1568" s="662" t="inlineStr">
        <is>
          <t>I</t>
        </is>
      </c>
      <c r="H1568" s="664" t="n">
        <v>1006</v>
      </c>
      <c r="I1568" s="665" t="n">
        <v>4.46</v>
      </c>
      <c r="L1568" s="663" t="e">
        <v>#REF!</v>
      </c>
    </row>
    <row r="1569">
      <c r="B1569" s="678" t="n">
        <v>111084</v>
      </c>
      <c r="F1569" s="710" t="inlineStr">
        <is>
          <t>F HAWKINSCINNAMON73503</t>
        </is>
      </c>
      <c r="H1569" s="664" t="n">
        <v>1002</v>
      </c>
      <c r="I1569" s="665" t="n">
        <v>3.3</v>
      </c>
      <c r="K1569" s="673" t="inlineStr">
        <is>
          <t>P007683</t>
        </is>
      </c>
      <c r="L1569" s="663" t="e">
        <v>#REF!</v>
      </c>
    </row>
    <row r="1570">
      <c r="B1570" s="678" t="n">
        <v>111308</v>
      </c>
      <c r="F1570" s="710" t="inlineStr">
        <is>
          <t>F AKIELASUNSET 56102</t>
        </is>
      </c>
      <c r="H1570" s="664" t="n">
        <v>1002</v>
      </c>
      <c r="I1570" s="665" t="n">
        <v>3.37</v>
      </c>
      <c r="K1570" s="673" t="inlineStr">
        <is>
          <t>P007683</t>
        </is>
      </c>
      <c r="L1570" s="663" t="e">
        <v>#REF!</v>
      </c>
    </row>
    <row r="1571">
      <c r="B1571" s="678" t="n">
        <v>111393</v>
      </c>
      <c r="F1571" s="710" t="inlineStr">
        <is>
          <t>F TOULOUSECINNAMON 94300</t>
        </is>
      </c>
      <c r="H1571" s="664" t="n">
        <v>1073</v>
      </c>
      <c r="I1571" s="665" t="n">
        <v>7.05</v>
      </c>
      <c r="K1571" s="673" t="inlineStr">
        <is>
          <t>P007683</t>
        </is>
      </c>
      <c r="L1571" s="663" t="e">
        <v>#REF!</v>
      </c>
    </row>
    <row r="1572">
      <c r="B1572" s="678" t="n">
        <v>111394</v>
      </c>
      <c r="F1572" s="710" t="inlineStr">
        <is>
          <t>F MARQUEEMERLOT 94300</t>
        </is>
      </c>
      <c r="H1572" s="664" t="n">
        <v>1002</v>
      </c>
      <c r="I1572" s="665" t="n">
        <v>5.58</v>
      </c>
      <c r="K1572" s="673" t="inlineStr">
        <is>
          <t>P007683</t>
        </is>
      </c>
      <c r="L1572" s="663" t="e">
        <v>#REF!</v>
      </c>
    </row>
    <row r="1573">
      <c r="B1573" s="678" t="n">
        <v>111502</v>
      </c>
      <c r="F1573" s="710" t="inlineStr">
        <is>
          <t>F MADDIELYNNSQUARE AUBURN71201</t>
        </is>
      </c>
      <c r="H1573" s="664" t="n">
        <v>1002</v>
      </c>
      <c r="I1573" s="665" t="n">
        <v>3.38</v>
      </c>
      <c r="K1573" s="673" t="inlineStr">
        <is>
          <t>P007683</t>
        </is>
      </c>
      <c r="L1573" s="663" t="e">
        <v>#REF!</v>
      </c>
    </row>
    <row r="1574">
      <c r="B1574" s="678" t="n">
        <v>111503</v>
      </c>
      <c r="F1574" s="710" t="inlineStr">
        <is>
          <t>F MARGO (T10928)WINE 71201</t>
        </is>
      </c>
      <c r="H1574" s="664" t="n">
        <v>1002</v>
      </c>
      <c r="I1574" s="665" t="n">
        <v>4.84</v>
      </c>
      <c r="K1574" s="673" t="inlineStr">
        <is>
          <t>P007683</t>
        </is>
      </c>
      <c r="L1574" s="663" t="e">
        <v>#REF!</v>
      </c>
    </row>
    <row r="1575">
      <c r="B1575" s="678" t="n">
        <v>111504</v>
      </c>
      <c r="F1575" s="710" t="inlineStr">
        <is>
          <t>F MARCENE (T10929)WINE 71201</t>
        </is>
      </c>
      <c r="H1575" s="664" t="n">
        <v>1002</v>
      </c>
      <c r="I1575" s="665" t="n">
        <v>5.14</v>
      </c>
      <c r="K1575" s="673" t="inlineStr">
        <is>
          <t>P007683</t>
        </is>
      </c>
      <c r="L1575" s="663" t="e">
        <v>#REF!</v>
      </c>
    </row>
    <row r="1576">
      <c r="B1576" s="678" t="n">
        <v>111626</v>
      </c>
      <c r="F1576" s="710" t="inlineStr">
        <is>
          <t>F EAN (JE195)LIME(AS-04) 96202</t>
        </is>
      </c>
      <c r="H1576" s="664" t="n">
        <v>1002</v>
      </c>
      <c r="I1576" s="665" t="n">
        <v>2.49</v>
      </c>
      <c r="K1576" s="673" t="inlineStr">
        <is>
          <t>P007683</t>
        </is>
      </c>
      <c r="L1576" s="663" t="e">
        <v>#REF!</v>
      </c>
    </row>
    <row r="1577">
      <c r="B1577" s="678" t="n">
        <v>111635</v>
      </c>
      <c r="F1577" s="710" t="inlineStr">
        <is>
          <t>F MCFARIN (DUFFY)UMBER 55000</t>
        </is>
      </c>
      <c r="H1577" s="664" t="n">
        <v>1002</v>
      </c>
      <c r="I1577" s="665" t="n">
        <v>2.71</v>
      </c>
      <c r="K1577" s="673" t="inlineStr">
        <is>
          <t>P007683</t>
        </is>
      </c>
      <c r="L1577" s="663" t="e">
        <v>#REF!</v>
      </c>
    </row>
    <row r="1578">
      <c r="B1578" s="678" t="n">
        <v>111636</v>
      </c>
      <c r="F1578" s="710" t="inlineStr">
        <is>
          <t>F MCFARIN (DUFFY)HICKORY 55002</t>
        </is>
      </c>
      <c r="H1578" s="664" t="n">
        <v>1002</v>
      </c>
      <c r="I1578" s="665" t="n">
        <v>2.71</v>
      </c>
      <c r="K1578" s="673" t="inlineStr">
        <is>
          <t>P007683</t>
        </is>
      </c>
      <c r="L1578" s="663" t="e">
        <v>#REF!</v>
      </c>
    </row>
    <row r="1579">
      <c r="B1579" s="678" t="n">
        <v>111638</v>
      </c>
      <c r="F1579" s="710" t="inlineStr">
        <is>
          <t>F (DN12318PD)STONEWASH(5)70002</t>
        </is>
      </c>
      <c r="H1579" s="664" t="n">
        <v>1002</v>
      </c>
      <c r="I1579" s="665" t="n">
        <v>3.11</v>
      </c>
      <c r="K1579" s="673" t="inlineStr">
        <is>
          <t>P007683</t>
        </is>
      </c>
      <c r="L1579" s="663" t="e">
        <v>#REF!</v>
      </c>
    </row>
    <row r="1580">
      <c r="B1580" s="678" t="n">
        <v>111639</v>
      </c>
      <c r="F1580" s="710" t="inlineStr">
        <is>
          <t>F (DN12318PD)BURGUNDY(8) 70004</t>
        </is>
      </c>
      <c r="H1580" s="664" t="n">
        <v>1002</v>
      </c>
      <c r="I1580" s="665" t="n">
        <v>3.11</v>
      </c>
      <c r="K1580" s="673" t="inlineStr">
        <is>
          <t>P007683</t>
        </is>
      </c>
      <c r="L1580" s="663" t="e">
        <v>#REF!</v>
      </c>
    </row>
    <row r="1581">
      <c r="B1581" s="678" t="n">
        <v>180247</v>
      </c>
      <c r="F1581" s="710" t="inlineStr">
        <is>
          <t>V PU(2013-2-4)COFFEE 71201</t>
        </is>
      </c>
      <c r="H1581" s="664" t="n">
        <v>1035</v>
      </c>
      <c r="I1581" s="665" t="n">
        <v>4.37</v>
      </c>
      <c r="K1581" s="673" t="inlineStr">
        <is>
          <t>P007683</t>
        </is>
      </c>
      <c r="L1581" s="663" t="e">
        <v>#REF!</v>
      </c>
    </row>
    <row r="1582">
      <c r="B1582" s="659" t="inlineStr">
        <is>
          <t>180289HYD</t>
        </is>
      </c>
      <c r="F1582" s="710" t="inlineStr">
        <is>
          <t>F HANNESBERGHARNESS 45001</t>
        </is>
      </c>
      <c r="G1582" s="675" t="n"/>
      <c r="H1582" s="664" t="n">
        <v>1165</v>
      </c>
      <c r="I1582" s="665" t="n">
        <v>4.41</v>
      </c>
      <c r="K1582" t="inlineStr">
        <is>
          <t>P008400</t>
        </is>
      </c>
      <c r="L1582" s="663" t="e">
        <v>#REF!</v>
      </c>
    </row>
    <row r="1583">
      <c r="B1583" s="678" t="inlineStr">
        <is>
          <t>180256HYD</t>
        </is>
      </c>
      <c r="F1583" s="675" t="inlineStr">
        <is>
          <t>F MIKKEL COCOA 23400</t>
        </is>
      </c>
      <c r="H1583" s="664" t="n">
        <v>1035</v>
      </c>
      <c r="I1583" s="665" t="n">
        <v>6.3</v>
      </c>
      <c r="L1583" s="663" t="e">
        <v>#REF!</v>
      </c>
    </row>
    <row r="1584">
      <c r="B1584" s="678" t="inlineStr">
        <is>
          <t>180277HYD</t>
        </is>
      </c>
      <c r="F1584" s="699" t="inlineStr">
        <is>
          <t>F PUORANGE 27002</t>
        </is>
      </c>
      <c r="H1584" s="664" t="n">
        <v>1035</v>
      </c>
      <c r="I1584" s="665" t="n">
        <v>3.71</v>
      </c>
      <c r="K1584" t="inlineStr">
        <is>
          <t>P008349</t>
        </is>
      </c>
      <c r="L1584" s="663" t="e">
        <v>#REF!</v>
      </c>
    </row>
    <row r="1585">
      <c r="B1585" s="678" t="n">
        <v>111172</v>
      </c>
      <c r="F1585" s="675" t="inlineStr">
        <is>
          <t>F DURAHIDEONYX529/628/79200</t>
        </is>
      </c>
      <c r="H1585" s="664" t="n">
        <v>1035</v>
      </c>
      <c r="I1585" s="665" t="n">
        <v>2.53</v>
      </c>
      <c r="K1585" t="inlineStr">
        <is>
          <t>p008423</t>
        </is>
      </c>
      <c r="L1585" s="663" t="e">
        <v>#REF!</v>
      </c>
    </row>
    <row r="1586">
      <c r="B1586" s="659" t="inlineStr">
        <is>
          <t>180098HYD</t>
        </is>
      </c>
      <c r="C1586" s="661" t="inlineStr">
        <is>
          <t>2107A</t>
        </is>
      </c>
      <c r="D1586" s="661" t="inlineStr">
        <is>
          <t>DONG TAI</t>
        </is>
      </c>
      <c r="E1586" s="661" t="inlineStr">
        <is>
          <t>RFRU</t>
        </is>
      </c>
      <c r="F1586" s="661" t="inlineStr">
        <is>
          <t>V VINYLBARK15003</t>
        </is>
      </c>
      <c r="G1586" s="662" t="inlineStr">
        <is>
          <t>I</t>
        </is>
      </c>
      <c r="H1586" s="664" t="n">
        <v>1006</v>
      </c>
      <c r="I1586" s="665" t="n">
        <v>3.88</v>
      </c>
      <c r="L1586" s="663" t="e">
        <v>#REF!</v>
      </c>
    </row>
    <row r="1587">
      <c r="B1587" s="678" t="inlineStr">
        <is>
          <t>CH-BS0001WV</t>
        </is>
      </c>
      <c r="F1587" s="675" t="inlineStr">
        <is>
          <t>NC BACK COLOR CH-2</t>
        </is>
      </c>
      <c r="H1587" s="664" t="n">
        <v>1057</v>
      </c>
      <c r="I1587" s="665" t="n">
        <v>2.43</v>
      </c>
      <c r="J1587" s="666" t="inlineStr">
        <is>
          <t>KG</t>
        </is>
      </c>
      <c r="K1587" t="inlineStr">
        <is>
          <t>p008042</t>
        </is>
      </c>
      <c r="L1587" s="663" t="e">
        <v>#REF!</v>
      </c>
    </row>
    <row r="1588">
      <c r="B1588" s="678" t="inlineStr">
        <is>
          <t>CH-PF3231WV</t>
        </is>
      </c>
      <c r="F1588" s="675" t="inlineStr">
        <is>
          <t>PF PRIMER CH</t>
        </is>
      </c>
      <c r="H1588" s="664" t="n">
        <v>1057</v>
      </c>
      <c r="I1588" s="665" t="n">
        <v>3</v>
      </c>
      <c r="J1588" s="666" t="inlineStr">
        <is>
          <t>KG</t>
        </is>
      </c>
      <c r="L1588" s="663" t="e">
        <v>#REF!</v>
      </c>
    </row>
    <row r="1589">
      <c r="B1589" s="678" t="inlineStr">
        <is>
          <t>CH-PF3251WV</t>
        </is>
      </c>
      <c r="F1589" s="675" t="inlineStr">
        <is>
          <t>WHITE PU BASE COAT</t>
        </is>
      </c>
      <c r="H1589" s="664" t="n">
        <v>1057</v>
      </c>
      <c r="I1589" s="665" t="n">
        <v>3</v>
      </c>
      <c r="J1589" s="666" t="inlineStr">
        <is>
          <t>KG</t>
        </is>
      </c>
      <c r="L1589" s="663" t="e">
        <v>#REF!</v>
      </c>
    </row>
    <row r="1590">
      <c r="B1590" s="678" t="inlineStr">
        <is>
          <t>CH-ND0241WV</t>
        </is>
      </c>
      <c r="F1590" s="675" t="inlineStr">
        <is>
          <t>BLACK BASE</t>
        </is>
      </c>
      <c r="H1590" s="664" t="n">
        <v>1057</v>
      </c>
      <c r="I1590" s="665" t="n">
        <v>3.01</v>
      </c>
      <c r="J1590" s="666" t="inlineStr">
        <is>
          <t>KG</t>
        </is>
      </c>
      <c r="L1590" s="663" t="e">
        <v>#REF!</v>
      </c>
    </row>
    <row r="1591">
      <c r="B1591" s="678" t="inlineStr">
        <is>
          <t>CH-ND0224WV</t>
        </is>
      </c>
      <c r="F1591" s="675" t="inlineStr">
        <is>
          <t>NC SEALER CH</t>
        </is>
      </c>
      <c r="H1591" s="664" t="n">
        <v>1057</v>
      </c>
      <c r="I1591" s="665" t="n">
        <v>3.43</v>
      </c>
      <c r="J1591" s="666" t="inlineStr">
        <is>
          <t>KG</t>
        </is>
      </c>
      <c r="L1591" s="663" t="e">
        <v>#REF!</v>
      </c>
    </row>
    <row r="1592">
      <c r="B1592" s="678" t="inlineStr">
        <is>
          <t>CH-NM0224-50WV</t>
        </is>
      </c>
      <c r="F1592" s="675" t="inlineStr">
        <is>
          <t>50 SHEEN NC TOP COAT</t>
        </is>
      </c>
      <c r="H1592" s="664" t="n">
        <v>1057</v>
      </c>
      <c r="I1592" s="665" t="n">
        <v>3.48</v>
      </c>
      <c r="J1592" s="666" t="inlineStr">
        <is>
          <t>KG</t>
        </is>
      </c>
      <c r="L1592" s="663" t="e">
        <v>#REF!</v>
      </c>
    </row>
    <row r="1593">
      <c r="B1593" s="678" t="inlineStr">
        <is>
          <t>CH-NM0224-40WV</t>
        </is>
      </c>
      <c r="F1593" s="675" t="inlineStr">
        <is>
          <t>40 SHEEN NC TOP COAT</t>
        </is>
      </c>
      <c r="H1593" s="664" t="n">
        <v>1057</v>
      </c>
      <c r="I1593" s="665" t="n">
        <v>3.48</v>
      </c>
      <c r="J1593" s="666" t="inlineStr">
        <is>
          <t>KG</t>
        </is>
      </c>
      <c r="L1593" s="663" t="e">
        <v>#REF!</v>
      </c>
    </row>
    <row r="1594">
      <c r="B1594" s="678" t="inlineStr">
        <is>
          <t>CH-NS9241WV</t>
        </is>
      </c>
      <c r="F1594" s="675" t="inlineStr">
        <is>
          <t>BLACK NC TOP COAT BASE CH</t>
        </is>
      </c>
      <c r="H1594" s="664" t="n">
        <v>1057</v>
      </c>
      <c r="I1594" s="665" t="n">
        <v>3.56</v>
      </c>
      <c r="J1594" s="666" t="inlineStr">
        <is>
          <t>KG</t>
        </is>
      </c>
      <c r="L1594" s="663" t="e">
        <v>#REF!</v>
      </c>
    </row>
    <row r="1595">
      <c r="B1595" s="678" t="inlineStr">
        <is>
          <t>CH-BC0551WV</t>
        </is>
      </c>
      <c r="F1595" s="675" t="inlineStr">
        <is>
          <t xml:space="preserve">551 NC BASE  COAT CH </t>
        </is>
      </c>
      <c r="H1595" s="664" t="n">
        <v>1057</v>
      </c>
      <c r="I1595" s="665" t="n">
        <v>3.756</v>
      </c>
      <c r="J1595" s="666" t="inlineStr">
        <is>
          <t>KG</t>
        </is>
      </c>
      <c r="L1595" s="663" t="e">
        <v>#REF!</v>
      </c>
    </row>
    <row r="1596">
      <c r="B1596" s="678" t="inlineStr">
        <is>
          <t>CH-BC0553WV</t>
        </is>
      </c>
      <c r="F1596" s="675" t="inlineStr">
        <is>
          <t>553 NC BASE  COAT</t>
        </is>
      </c>
      <c r="H1596" s="664" t="n">
        <v>1057</v>
      </c>
      <c r="I1596" s="665" t="n">
        <v>3.76</v>
      </c>
      <c r="J1596" s="666" t="inlineStr">
        <is>
          <t>KG</t>
        </is>
      </c>
      <c r="L1596" s="663" t="e">
        <v>#REF!</v>
      </c>
    </row>
    <row r="1597">
      <c r="B1597" s="678" t="inlineStr">
        <is>
          <t>CH-BC0570WV</t>
        </is>
      </c>
      <c r="F1597" s="675" t="inlineStr">
        <is>
          <t>570  NC BASE  COAT</t>
        </is>
      </c>
      <c r="H1597" s="664" t="n">
        <v>1057</v>
      </c>
      <c r="I1597" s="665" t="n">
        <v>3.76</v>
      </c>
      <c r="J1597" s="666" t="inlineStr">
        <is>
          <t>KG</t>
        </is>
      </c>
      <c r="L1597" s="663" t="e">
        <v>#REF!</v>
      </c>
    </row>
    <row r="1598">
      <c r="B1598" s="678" t="inlineStr">
        <is>
          <t>CH-BC0516WV</t>
        </is>
      </c>
      <c r="F1598" s="675" t="inlineStr">
        <is>
          <t>516 NC BASE  COAT</t>
        </is>
      </c>
      <c r="H1598" s="664" t="n">
        <v>1057</v>
      </c>
      <c r="I1598" s="665" t="n">
        <v>3.76</v>
      </c>
      <c r="J1598" s="666" t="inlineStr">
        <is>
          <t>KG</t>
        </is>
      </c>
      <c r="L1598" s="663" t="e">
        <v>#REF!</v>
      </c>
    </row>
    <row r="1599">
      <c r="B1599" s="678" t="inlineStr">
        <is>
          <t>CH-NM0224-15WV</t>
        </is>
      </c>
      <c r="F1599" s="675" t="inlineStr">
        <is>
          <t>15 SHEEN NC TOP COAT</t>
        </is>
      </c>
      <c r="H1599" s="664" t="n">
        <v>1057</v>
      </c>
      <c r="I1599" s="665" t="n">
        <v>3.81</v>
      </c>
      <c r="J1599" s="666" t="inlineStr">
        <is>
          <t>KG</t>
        </is>
      </c>
      <c r="L1599" s="663" t="e">
        <v>#REF!</v>
      </c>
    </row>
    <row r="1600">
      <c r="B1600" s="678" t="inlineStr">
        <is>
          <t>CH-NM0224-20WV</t>
        </is>
      </c>
      <c r="F1600" s="675" t="inlineStr">
        <is>
          <t>20 SHEEN NC TOP COAT CH</t>
        </is>
      </c>
      <c r="H1600" s="664" t="n">
        <v>1057</v>
      </c>
      <c r="I1600" s="665" t="n">
        <v>3.81</v>
      </c>
      <c r="J1600" s="666" t="inlineStr">
        <is>
          <t>KG</t>
        </is>
      </c>
      <c r="K1600" t="inlineStr">
        <is>
          <t>P009374</t>
        </is>
      </c>
      <c r="L1600" s="663" t="e">
        <v>#REF!</v>
      </c>
    </row>
    <row r="1601">
      <c r="B1601" s="678" t="inlineStr">
        <is>
          <t>CH-NM0224-30WV</t>
        </is>
      </c>
      <c r="F1601" s="675" t="inlineStr">
        <is>
          <t>30 SHEEN NC TOP COAT CH</t>
        </is>
      </c>
      <c r="H1601" s="664" t="n">
        <v>1057</v>
      </c>
      <c r="I1601" s="665" t="n">
        <v>3.81</v>
      </c>
      <c r="J1601" s="666" t="inlineStr">
        <is>
          <t>KG</t>
        </is>
      </c>
      <c r="L1601" s="663" t="e">
        <v>#REF!</v>
      </c>
    </row>
    <row r="1602">
      <c r="B1602" s="678" t="inlineStr">
        <is>
          <t>CH-NM0224-5WV</t>
        </is>
      </c>
      <c r="F1602" s="675" t="inlineStr">
        <is>
          <t>5 SHEEN NC TOP COAT CH-1</t>
        </is>
      </c>
      <c r="H1602" s="664" t="n">
        <v>1057</v>
      </c>
      <c r="I1602" s="665" t="n">
        <v>3.81</v>
      </c>
      <c r="J1602" s="666" t="inlineStr">
        <is>
          <t>KG</t>
        </is>
      </c>
      <c r="L1602" s="663" t="e">
        <v>#REF!</v>
      </c>
    </row>
    <row r="1603">
      <c r="B1603" s="678" t="inlineStr">
        <is>
          <t>CH-PG3035WV</t>
        </is>
      </c>
      <c r="F1603" s="675" t="inlineStr">
        <is>
          <t>PG HARDNER CH-1</t>
        </is>
      </c>
      <c r="H1603" s="664" t="n">
        <v>1057</v>
      </c>
      <c r="I1603" s="665" t="n">
        <v>4.37</v>
      </c>
      <c r="J1603" s="666" t="inlineStr">
        <is>
          <t>KG</t>
        </is>
      </c>
      <c r="L1603" s="663" t="e">
        <v>#REF!</v>
      </c>
    </row>
    <row r="1604">
      <c r="B1604" s="678" t="inlineStr">
        <is>
          <t>CH-NM0226-10WV</t>
        </is>
      </c>
      <c r="F1604" s="675" t="inlineStr">
        <is>
          <t>10 SHEEN TOP COAT 162 B707</t>
        </is>
      </c>
      <c r="H1604" s="664" t="n">
        <v>1057</v>
      </c>
      <c r="I1604" s="665" t="n">
        <v>4.582</v>
      </c>
      <c r="J1604" s="666" t="inlineStr">
        <is>
          <t>KG</t>
        </is>
      </c>
      <c r="L1604" s="663" t="e">
        <v>#REF!</v>
      </c>
    </row>
    <row r="1605">
      <c r="B1605" s="678" t="inlineStr">
        <is>
          <t>CH-NM0226-15WV</t>
        </is>
      </c>
      <c r="F1605" s="675" t="inlineStr">
        <is>
          <t>15 SHEEN TOP COAT CH</t>
        </is>
      </c>
      <c r="H1605" s="664" t="n">
        <v>1057</v>
      </c>
      <c r="I1605" s="665" t="n">
        <v>4.732</v>
      </c>
      <c r="J1605" s="666" t="inlineStr">
        <is>
          <t>KG</t>
        </is>
      </c>
      <c r="L1605" s="663" t="e">
        <v>#REF!</v>
      </c>
    </row>
    <row r="1606">
      <c r="B1606" s="678" t="inlineStr">
        <is>
          <t>CH-SM3031-10WV</t>
        </is>
      </c>
      <c r="F1606" s="675" t="inlineStr">
        <is>
          <t>WHITE BASE COAT</t>
        </is>
      </c>
      <c r="H1606" s="664" t="n">
        <v>1057</v>
      </c>
      <c r="I1606" s="665" t="n">
        <v>6.142</v>
      </c>
      <c r="J1606" s="666" t="inlineStr">
        <is>
          <t>KG</t>
        </is>
      </c>
      <c r="L1606" s="663" t="e">
        <v>#REF!</v>
      </c>
    </row>
    <row r="1607">
      <c r="B1607" s="678" t="inlineStr">
        <is>
          <t>CH-SH1041WV</t>
        </is>
      </c>
      <c r="F1607" s="675" t="inlineStr">
        <is>
          <t>BLACKTHICH-LIQUID</t>
        </is>
      </c>
      <c r="H1607" s="664" t="n">
        <v>1057</v>
      </c>
      <c r="I1607" s="665" t="n">
        <v>12.503</v>
      </c>
      <c r="J1607" s="666" t="inlineStr">
        <is>
          <t>KG</t>
        </is>
      </c>
      <c r="L1607" s="663" t="e">
        <v>#REF!</v>
      </c>
    </row>
    <row r="1608">
      <c r="B1608" s="678" t="inlineStr">
        <is>
          <t>CH-SN1051WV</t>
        </is>
      </c>
      <c r="F1608" s="675" t="inlineStr">
        <is>
          <t>BLUETHICH-LIQUID</t>
        </is>
      </c>
      <c r="H1608" s="664" t="n">
        <v>1057</v>
      </c>
      <c r="I1608" s="665" t="n">
        <v>16.945</v>
      </c>
      <c r="J1608" s="666" t="inlineStr">
        <is>
          <t>KG</t>
        </is>
      </c>
      <c r="L1608" s="663" t="e">
        <v>#REF!</v>
      </c>
    </row>
    <row r="1609">
      <c r="B1609" s="678" t="inlineStr">
        <is>
          <t>CH-SR1023WV</t>
        </is>
      </c>
      <c r="F1609" s="675" t="inlineStr">
        <is>
          <t>IRON OXIDE RED</t>
        </is>
      </c>
      <c r="H1609" s="664" t="n">
        <v>1057</v>
      </c>
      <c r="I1609" s="665" t="n">
        <v>23.093</v>
      </c>
      <c r="J1609" s="666" t="inlineStr">
        <is>
          <t>KG</t>
        </is>
      </c>
      <c r="L1609" s="663" t="e">
        <v>#REF!</v>
      </c>
    </row>
    <row r="1610">
      <c r="B1610" s="678" t="inlineStr">
        <is>
          <t>CH-SY1013WV</t>
        </is>
      </c>
      <c r="F1610" s="675" t="inlineStr">
        <is>
          <t>YELLOW ENVELOPE</t>
        </is>
      </c>
      <c r="H1610" s="664" t="n">
        <v>1057</v>
      </c>
      <c r="I1610" s="665" t="n">
        <v>28.011</v>
      </c>
      <c r="J1610" s="666" t="inlineStr">
        <is>
          <t>KG</t>
        </is>
      </c>
      <c r="L1610" s="663" t="e">
        <v>#REF!</v>
      </c>
    </row>
    <row r="1611">
      <c r="B1611" s="678" t="inlineStr">
        <is>
          <t>CH-NS0231WV</t>
        </is>
      </c>
      <c r="F1611" s="675" t="inlineStr">
        <is>
          <t>WHITE TINT PASTE CH-2</t>
        </is>
      </c>
      <c r="H1611" s="664" t="n">
        <v>1058</v>
      </c>
      <c r="I1611" s="665" t="n">
        <v>4.05</v>
      </c>
      <c r="J1611" s="666" t="inlineStr">
        <is>
          <t>KG</t>
        </is>
      </c>
      <c r="L1611" s="663" t="e">
        <v>#REF!</v>
      </c>
    </row>
    <row r="1612">
      <c r="B1612" s="678" t="inlineStr">
        <is>
          <t>CH-NS9262WV</t>
        </is>
      </c>
      <c r="F1612" s="675" t="inlineStr">
        <is>
          <t>YELLOW OXIDE TINT PASTE CH</t>
        </is>
      </c>
      <c r="H1612" s="664" t="n">
        <v>1058</v>
      </c>
      <c r="I1612" s="665" t="n">
        <v>4.29</v>
      </c>
      <c r="J1612" s="666" t="inlineStr">
        <is>
          <t>KG</t>
        </is>
      </c>
      <c r="L1612" s="663" t="e">
        <v>#REF!</v>
      </c>
    </row>
    <row r="1613">
      <c r="B1613" s="678" t="inlineStr">
        <is>
          <t>CH-NS9261WV</t>
        </is>
      </c>
      <c r="F1613" s="675" t="inlineStr">
        <is>
          <t>YELLOW TINT PASTE CH</t>
        </is>
      </c>
      <c r="H1613" s="664" t="n">
        <v>1058</v>
      </c>
      <c r="I1613" s="665" t="n">
        <v>4.37</v>
      </c>
      <c r="J1613" s="666" t="inlineStr">
        <is>
          <t>KG</t>
        </is>
      </c>
      <c r="L1613" s="663" t="e">
        <v>#REF!</v>
      </c>
    </row>
    <row r="1614">
      <c r="B1614" s="678" t="inlineStr">
        <is>
          <t>CH-GL0551WV</t>
        </is>
      </c>
      <c r="F1614" s="675" t="inlineStr">
        <is>
          <t>GLAZE BASE CH-11</t>
        </is>
      </c>
      <c r="H1614" s="664" t="n">
        <v>1058</v>
      </c>
      <c r="I1614" s="665" t="n">
        <v>10.69</v>
      </c>
      <c r="J1614" s="666" t="inlineStr">
        <is>
          <t>KG</t>
        </is>
      </c>
      <c r="L1614" s="663" t="e">
        <v>#REF!</v>
      </c>
    </row>
    <row r="1615">
      <c r="B1615" s="678" t="inlineStr">
        <is>
          <t>CH-GL0553WV</t>
        </is>
      </c>
      <c r="F1615" s="675" t="inlineStr">
        <is>
          <t>GLAZE BASE CH-12</t>
        </is>
      </c>
      <c r="H1615" s="664" t="n">
        <v>1058</v>
      </c>
      <c r="I1615" s="665" t="n">
        <v>10.69</v>
      </c>
      <c r="J1615" s="666" t="inlineStr">
        <is>
          <t>KG</t>
        </is>
      </c>
      <c r="L1615" s="663" t="e">
        <v>#REF!</v>
      </c>
    </row>
    <row r="1616">
      <c r="B1616" s="678" t="inlineStr">
        <is>
          <t>CH-GL0904WV</t>
        </is>
      </c>
      <c r="F1616" s="675" t="inlineStr">
        <is>
          <t>BLACK TINT PASTE CH</t>
        </is>
      </c>
      <c r="H1616" s="664" t="n">
        <v>1058</v>
      </c>
      <c r="I1616" s="665" t="n">
        <v>10.69</v>
      </c>
      <c r="J1616" s="666" t="inlineStr">
        <is>
          <t>KG</t>
        </is>
      </c>
      <c r="L1616" s="663" t="e">
        <v>#REF!</v>
      </c>
    </row>
    <row r="1617">
      <c r="B1617" s="678" t="inlineStr">
        <is>
          <t>CH-RP3001WV</t>
        </is>
      </c>
      <c r="F1617" s="675" t="inlineStr">
        <is>
          <t>PF MINERAL SPIRIT CH</t>
        </is>
      </c>
      <c r="H1617" s="664" t="n">
        <v>1059</v>
      </c>
      <c r="I1617" s="665" t="n">
        <v>2.25</v>
      </c>
      <c r="J1617" s="666" t="inlineStr">
        <is>
          <t>KG</t>
        </is>
      </c>
      <c r="L1617" s="663" t="e">
        <v>#REF!</v>
      </c>
    </row>
    <row r="1618">
      <c r="B1618" s="678" t="inlineStr">
        <is>
          <t>CH-RN2002WV</t>
        </is>
      </c>
      <c r="F1618" s="675" t="inlineStr">
        <is>
          <t>NC MINERAL SPIRIT CH</t>
        </is>
      </c>
      <c r="H1618" s="664" t="n">
        <v>1059</v>
      </c>
      <c r="I1618" s="665" t="n">
        <v>2.3</v>
      </c>
      <c r="J1618" s="666" t="inlineStr">
        <is>
          <t>KG</t>
        </is>
      </c>
      <c r="L1618" s="663" t="e">
        <v>#REF!</v>
      </c>
    </row>
    <row r="1619">
      <c r="B1619" s="678" t="inlineStr">
        <is>
          <t>CH-QY0220WV</t>
        </is>
      </c>
      <c r="F1619" s="675" t="inlineStr">
        <is>
          <t>LACQUER THINNER-4</t>
        </is>
      </c>
      <c r="H1619" s="664" t="n">
        <v>1122</v>
      </c>
      <c r="I1619" s="665" t="n">
        <v>4.86</v>
      </c>
      <c r="J1619" s="666" t="inlineStr">
        <is>
          <t>KG</t>
        </is>
      </c>
      <c r="L1619" s="663" t="e">
        <v>#REF!</v>
      </c>
    </row>
    <row r="1620">
      <c r="B1620" s="678" t="inlineStr">
        <is>
          <t>CH-RG9202WV</t>
        </is>
      </c>
      <c r="F1620" s="675" t="inlineStr">
        <is>
          <t>LACQUER THINNER-5</t>
        </is>
      </c>
      <c r="H1620" s="664" t="n">
        <v>1123</v>
      </c>
      <c r="I1620" s="665" t="n">
        <v>2.19</v>
      </c>
      <c r="J1620" s="666" t="inlineStr">
        <is>
          <t>KG</t>
        </is>
      </c>
      <c r="L1620" s="663" t="e">
        <v>#REF!</v>
      </c>
    </row>
    <row r="1621">
      <c r="B1621" s="678" t="inlineStr">
        <is>
          <t>CH-RJ4006WV</t>
        </is>
      </c>
      <c r="F1621" s="675" t="inlineStr">
        <is>
          <t>ALCOHOL CH-2</t>
        </is>
      </c>
      <c r="H1621" s="664" t="n">
        <v>1124</v>
      </c>
      <c r="I1621" s="665" t="n">
        <v>1.98</v>
      </c>
      <c r="J1621" s="666" t="inlineStr">
        <is>
          <t>KG</t>
        </is>
      </c>
      <c r="L1621" s="663" t="e">
        <v>#REF!</v>
      </c>
    </row>
    <row r="1622">
      <c r="B1622" s="678" t="inlineStr">
        <is>
          <t>CH-PF3241WV</t>
        </is>
      </c>
      <c r="F1622" s="675" t="inlineStr">
        <is>
          <t>BLACK PF</t>
        </is>
      </c>
      <c r="H1622" s="664" t="n">
        <v>1057</v>
      </c>
      <c r="I1622" s="665" t="n">
        <v>3</v>
      </c>
      <c r="J1622" s="666" t="inlineStr">
        <is>
          <t>KG</t>
        </is>
      </c>
      <c r="K1622" t="inlineStr">
        <is>
          <t>P008255</t>
        </is>
      </c>
      <c r="L1622" s="663" t="e">
        <v>#REF!</v>
      </c>
    </row>
    <row r="1623">
      <c r="B1623" s="678" t="inlineStr">
        <is>
          <t>CH-NM0224-90WV</t>
        </is>
      </c>
      <c r="F1623" s="675" t="inlineStr">
        <is>
          <t>90 SHEEN NC TOP COAT</t>
        </is>
      </c>
      <c r="H1623" s="664" t="n">
        <v>1057</v>
      </c>
      <c r="I1623" s="665" t="n">
        <v>3.48</v>
      </c>
      <c r="J1623" s="666" t="inlineStr">
        <is>
          <t>KG</t>
        </is>
      </c>
      <c r="L1623" s="663" t="e">
        <v>#REF!</v>
      </c>
    </row>
    <row r="1624">
      <c r="B1624" s="678" t="inlineStr">
        <is>
          <t>CH-NM0241-50WV</t>
        </is>
      </c>
      <c r="F1624" s="675" t="inlineStr">
        <is>
          <t>BLACK TOP COAT</t>
        </is>
      </c>
      <c r="H1624" s="664" t="n">
        <v>1057</v>
      </c>
      <c r="I1624" s="665" t="n">
        <v>3.81</v>
      </c>
      <c r="J1624" s="666" t="inlineStr">
        <is>
          <t>KG</t>
        </is>
      </c>
      <c r="L1624" s="663" t="e">
        <v>#REF!</v>
      </c>
    </row>
    <row r="1625">
      <c r="B1625" s="678" t="inlineStr">
        <is>
          <t>180247HYD</t>
        </is>
      </c>
      <c r="F1625" s="710" t="inlineStr">
        <is>
          <t>V PU(2013-2-4)COFFEE 71201</t>
        </is>
      </c>
      <c r="H1625" s="664" t="n">
        <v>1035</v>
      </c>
      <c r="I1625" s="665" t="n">
        <v>4.38</v>
      </c>
      <c r="K1625" s="673" t="inlineStr">
        <is>
          <t>P008198</t>
        </is>
      </c>
      <c r="L1625" s="663" t="e">
        <v>#REF!</v>
      </c>
    </row>
    <row r="1626">
      <c r="B1626" s="679" t="inlineStr">
        <is>
          <t>180103HYD</t>
        </is>
      </c>
      <c r="F1626" s="680" t="inlineStr">
        <is>
          <t>V DURABLENDECLIPSE87401</t>
        </is>
      </c>
      <c r="G1626" s="662" t="n"/>
      <c r="H1626" s="664" t="n">
        <v>1035</v>
      </c>
      <c r="I1626" s="665" t="n">
        <v>5.55</v>
      </c>
      <c r="L1626" s="663" t="e">
        <v>#REF!</v>
      </c>
    </row>
    <row r="1627">
      <c r="B1627" s="679" t="inlineStr">
        <is>
          <t>180104HYD</t>
        </is>
      </c>
      <c r="F1627" s="680" t="inlineStr">
        <is>
          <t xml:space="preserve">V VINYLECLIPSE87401 </t>
        </is>
      </c>
      <c r="G1627" s="662" t="n"/>
      <c r="H1627" s="664" t="n">
        <v>1035</v>
      </c>
      <c r="I1627" s="665" t="n">
        <v>4.25</v>
      </c>
      <c r="L1627" s="663" t="e">
        <v>#REF!</v>
      </c>
    </row>
    <row r="1628">
      <c r="B1628" s="678" t="inlineStr">
        <is>
          <t>180276HYD</t>
        </is>
      </c>
      <c r="F1628" s="699" t="inlineStr">
        <is>
          <t>F DURABLENDORANGE 27002</t>
        </is>
      </c>
      <c r="H1628" s="664" t="n">
        <v>1035</v>
      </c>
      <c r="I1628" s="665" t="n">
        <v>4.98</v>
      </c>
      <c r="K1628" t="inlineStr">
        <is>
          <t>p008353</t>
        </is>
      </c>
      <c r="L1628" s="663" t="e">
        <v>#REF!</v>
      </c>
    </row>
    <row r="1629">
      <c r="B1629" s="678" t="n">
        <v>111171</v>
      </c>
      <c r="F1629" s="699" t="inlineStr">
        <is>
          <t xml:space="preserve"> F DURABLENDONYX 94200</t>
        </is>
      </c>
      <c r="H1629" s="664" t="n">
        <v>1035</v>
      </c>
      <c r="I1629" s="665" t="n">
        <v>3.81</v>
      </c>
      <c r="K1629" t="inlineStr">
        <is>
          <t>p008506</t>
        </is>
      </c>
      <c r="L1629" s="663" t="e">
        <v>#REF!</v>
      </c>
    </row>
    <row r="1630">
      <c r="B1630" s="678" t="n">
        <v>111617</v>
      </c>
      <c r="F1630" s="700" t="inlineStr">
        <is>
          <t>F DELTACITY(PN310-C)STEEL19700</t>
        </is>
      </c>
      <c r="H1630" s="664" t="n">
        <v>1112</v>
      </c>
      <c r="I1630" s="665" t="n">
        <v>2.46</v>
      </c>
      <c r="K1630" t="inlineStr">
        <is>
          <t>P008296</t>
        </is>
      </c>
      <c r="L1630" s="663" t="e">
        <v>#REF!</v>
      </c>
    </row>
    <row r="1631">
      <c r="B1631" s="678" t="n">
        <v>111627</v>
      </c>
      <c r="F1631" s="711" t="inlineStr">
        <is>
          <t>F EAN(JE195)COFFEE(AS-13) 96203</t>
        </is>
      </c>
      <c r="H1631" s="664" t="n">
        <v>1002</v>
      </c>
      <c r="I1631" s="665" t="n">
        <v>2.49</v>
      </c>
      <c r="K1631" t="inlineStr">
        <is>
          <t>P008402</t>
        </is>
      </c>
      <c r="L1631" s="663" t="e">
        <v>#REF!</v>
      </c>
    </row>
    <row r="1632">
      <c r="B1632" s="678" t="n">
        <v>111602</v>
      </c>
      <c r="F1632" s="700" t="inlineStr">
        <is>
          <t>F COLLAGE(HD637)CARNIVAL 95801</t>
        </is>
      </c>
      <c r="H1632" s="664" t="n">
        <v>1002</v>
      </c>
      <c r="I1632" s="665" t="n">
        <v>4.24</v>
      </c>
      <c r="K1632" t="inlineStr">
        <is>
          <t>p007851</t>
        </is>
      </c>
      <c r="L1632" s="663" t="e">
        <v>#REF!</v>
      </c>
    </row>
    <row r="1633">
      <c r="B1633" s="678" t="n">
        <v>111605</v>
      </c>
      <c r="F1633" s="700" t="inlineStr">
        <is>
          <t>F MYKLA(JE-500BQ)SHITAKE 96701</t>
        </is>
      </c>
      <c r="H1633" s="664" t="n">
        <v>1002</v>
      </c>
      <c r="I1633" s="665" t="n">
        <v>2.49</v>
      </c>
      <c r="K1633" t="inlineStr">
        <is>
          <t>p007851</t>
        </is>
      </c>
      <c r="L1633" s="663" t="e">
        <v>#REF!</v>
      </c>
    </row>
    <row r="1634">
      <c r="B1634" s="678" t="n">
        <v>111606</v>
      </c>
      <c r="F1634" s="700" t="inlineStr">
        <is>
          <t>F THICKETREED 96701</t>
        </is>
      </c>
      <c r="H1634" s="664" t="n">
        <v>1167</v>
      </c>
      <c r="I1634" s="665" t="n">
        <v>8.300000000000001</v>
      </c>
      <c r="K1634" t="inlineStr">
        <is>
          <t>p007851</t>
        </is>
      </c>
      <c r="L1634" s="663" t="e">
        <v>#REF!</v>
      </c>
    </row>
    <row r="1635">
      <c r="B1635" s="678" t="inlineStr">
        <is>
          <t>111607PL</t>
        </is>
      </c>
      <c r="F1635" s="700" t="inlineStr">
        <is>
          <t>F MERIDIANSHADOW 96701</t>
        </is>
      </c>
      <c r="H1635" s="664" t="n">
        <v>1168</v>
      </c>
      <c r="I1635" s="665" t="n">
        <v>5.46</v>
      </c>
      <c r="K1635" t="inlineStr">
        <is>
          <t>p007851</t>
        </is>
      </c>
      <c r="L1635" s="663" t="e">
        <v>#REF!</v>
      </c>
    </row>
    <row r="1636">
      <c r="B1636" s="678" t="n">
        <v>111621</v>
      </c>
      <c r="F1636" s="700" t="inlineStr">
        <is>
          <t>F SAFIA(JE110)SLATE(GREY 95301</t>
        </is>
      </c>
      <c r="H1636" s="664" t="n">
        <v>1002</v>
      </c>
      <c r="I1636" s="665" t="n">
        <v>2.48</v>
      </c>
      <c r="K1636" t="inlineStr">
        <is>
          <t>p007851</t>
        </is>
      </c>
      <c r="L1636" s="663" t="e">
        <v>#REF!</v>
      </c>
    </row>
    <row r="1637">
      <c r="B1637" s="678" t="n">
        <v>111622</v>
      </c>
      <c r="F1637" s="700" t="inlineStr">
        <is>
          <t>F ZARAGUNMETAL 95301</t>
        </is>
      </c>
      <c r="H1637" s="664" t="n">
        <v>1169</v>
      </c>
      <c r="I1637" s="665" t="n">
        <v>5.73</v>
      </c>
      <c r="K1637" t="inlineStr">
        <is>
          <t>p007851</t>
        </is>
      </c>
      <c r="L1637" s="663" t="e">
        <v>#REF!</v>
      </c>
    </row>
    <row r="1638">
      <c r="B1638" s="678" t="n">
        <v>111623</v>
      </c>
      <c r="F1638" s="700" t="inlineStr">
        <is>
          <t>F ESTRELLAGUNMETAL 95301</t>
        </is>
      </c>
      <c r="H1638" s="664" t="n">
        <v>1169</v>
      </c>
      <c r="I1638" s="665" t="n">
        <v>5.73</v>
      </c>
      <c r="K1638" t="inlineStr">
        <is>
          <t>p007851</t>
        </is>
      </c>
      <c r="L1638" s="663" t="e">
        <v>#REF!</v>
      </c>
    </row>
    <row r="1639">
      <c r="B1639" s="678" t="n">
        <v>111641</v>
      </c>
      <c r="F1639" s="700" t="inlineStr">
        <is>
          <t>F (WENTWORTH)BROWNSTONE 94100</t>
        </is>
      </c>
      <c r="H1639" s="664" t="n">
        <v>1002</v>
      </c>
      <c r="I1639" s="665" t="n">
        <v>4.92</v>
      </c>
      <c r="K1639" t="inlineStr">
        <is>
          <t>p007851</t>
        </is>
      </c>
      <c r="L1639" s="663" t="e">
        <v>#REF!</v>
      </c>
    </row>
    <row r="1640">
      <c r="B1640" s="678" t="n">
        <v>180286</v>
      </c>
      <c r="F1640" s="700" t="inlineStr">
        <is>
          <t>F PARKSTOWNPEBBLE 97106</t>
        </is>
      </c>
      <c r="H1640" s="664" t="n">
        <v>1163</v>
      </c>
      <c r="I1640" s="665" t="n">
        <v>4.85</v>
      </c>
      <c r="K1640" t="inlineStr">
        <is>
          <t>p007851</t>
        </is>
      </c>
      <c r="L1640" s="663" t="e">
        <v>#REF!</v>
      </c>
    </row>
    <row r="1641">
      <c r="B1641" s="678" t="n">
        <v>101097</v>
      </c>
      <c r="F1641" s="700" t="inlineStr">
        <is>
          <t>FEATHER 18''X25''</t>
        </is>
      </c>
      <c r="G1641" s="675" t="n"/>
      <c r="H1641" s="664" t="n">
        <v>1090</v>
      </c>
      <c r="I1641" s="665" t="n">
        <v>3.45</v>
      </c>
      <c r="K1641" t="inlineStr">
        <is>
          <t>P007615</t>
        </is>
      </c>
      <c r="L1641" s="663" t="e">
        <v>#REF!</v>
      </c>
    </row>
    <row r="1642">
      <c r="B1642" s="678" t="n">
        <v>111643</v>
      </c>
      <c r="F1642" s="700" t="inlineStr">
        <is>
          <t>F (BINGO)CHOCOLATE 99302</t>
        </is>
      </c>
      <c r="G1642" s="675" t="n"/>
      <c r="H1642" s="664" t="n">
        <v>1002</v>
      </c>
      <c r="I1642" s="665" t="n">
        <v>3.23</v>
      </c>
      <c r="K1642" t="inlineStr">
        <is>
          <t>P007975</t>
        </is>
      </c>
      <c r="L1642" s="663" t="e">
        <v>#REF!</v>
      </c>
    </row>
    <row r="1643">
      <c r="B1643" s="678" t="n">
        <v>111644</v>
      </c>
      <c r="F1643" s="700" t="inlineStr">
        <is>
          <t>F (BINGO)MOCHA 99303</t>
        </is>
      </c>
      <c r="G1643" s="675" t="n"/>
      <c r="H1643" s="664" t="n">
        <v>1002</v>
      </c>
      <c r="I1643" s="665" t="n">
        <v>3.23</v>
      </c>
      <c r="K1643" t="inlineStr">
        <is>
          <t>P007975</t>
        </is>
      </c>
      <c r="L1643" s="663" t="e">
        <v>#REF!</v>
      </c>
    </row>
    <row r="1644">
      <c r="B1644" s="697" t="inlineStr">
        <is>
          <t>180258HYD</t>
        </is>
      </c>
      <c r="C1644" s="693" t="n"/>
      <c r="F1644" s="693" t="inlineStr">
        <is>
          <t>F DURABLENDLOGGINS NEWRED21402</t>
        </is>
      </c>
      <c r="H1644" s="664" t="n">
        <v>1035</v>
      </c>
      <c r="I1644" s="665" t="n">
        <v>5.74</v>
      </c>
      <c r="K1644" t="inlineStr">
        <is>
          <t>P008378</t>
        </is>
      </c>
      <c r="L1644" s="663" t="e">
        <v>#REF!</v>
      </c>
    </row>
    <row r="1645">
      <c r="B1645" s="678" t="n">
        <v>3502042</v>
      </c>
      <c r="F1645" s="675" t="inlineStr">
        <is>
          <t>WHITE HIPS PLASTIC FOR 01131</t>
        </is>
      </c>
      <c r="H1645" s="664" t="n">
        <v>1166</v>
      </c>
      <c r="I1645" s="665" t="n">
        <v>2.14</v>
      </c>
      <c r="K1645" t="inlineStr">
        <is>
          <t>P008731</t>
        </is>
      </c>
      <c r="L1645" s="663" t="e">
        <v>#REF!</v>
      </c>
    </row>
    <row r="1646">
      <c r="B1646" s="678" t="n">
        <v>3502047</v>
      </c>
      <c r="F1646" s="675" t="inlineStr">
        <is>
          <t>HIPS PLASTIC FOR 03325&amp;03489</t>
        </is>
      </c>
      <c r="H1646" s="664" t="n">
        <v>1166</v>
      </c>
      <c r="I1646" s="665" t="n">
        <v>2.14</v>
      </c>
      <c r="K1646" t="inlineStr">
        <is>
          <t>P008731</t>
        </is>
      </c>
      <c r="L1646" s="663" t="e">
        <v>#REF!</v>
      </c>
    </row>
    <row r="1647">
      <c r="B1647" s="678" t="n">
        <v>100682</v>
      </c>
      <c r="F1647" s="700" t="inlineStr">
        <is>
          <t>BUTTON-76700#30SHELL/JHO</t>
        </is>
      </c>
      <c r="H1647" s="664" t="n">
        <v>1036</v>
      </c>
      <c r="I1647" s="665" t="n">
        <v>0.0253</v>
      </c>
      <c r="J1647" s="666" t="inlineStr">
        <is>
          <t>EA</t>
        </is>
      </c>
      <c r="K1647" t="inlineStr">
        <is>
          <t>P008674</t>
        </is>
      </c>
      <c r="L1647" s="663" t="e">
        <v>#REF!</v>
      </c>
    </row>
    <row r="1648">
      <c r="B1648" s="678" t="n">
        <v>111640</v>
      </c>
      <c r="F1648" s="675" t="inlineStr">
        <is>
          <t>F ROTATION(PHOENIX)SMOKE 97501</t>
        </is>
      </c>
      <c r="H1648" s="664" t="n">
        <v>1150</v>
      </c>
      <c r="I1648" s="665" t="n">
        <v>3.19</v>
      </c>
      <c r="K1648" t="inlineStr">
        <is>
          <t>P008279</t>
        </is>
      </c>
      <c r="L1648" s="663" t="e">
        <v>#REF!</v>
      </c>
    </row>
    <row r="1649">
      <c r="B1649" s="678" t="n">
        <v>111642</v>
      </c>
      <c r="F1649" s="675" t="inlineStr">
        <is>
          <t>F (BINGO)BARK(PORCINI) 98902</t>
        </is>
      </c>
      <c r="H1649" s="664" t="n">
        <v>1002</v>
      </c>
      <c r="I1649" s="665" t="n">
        <v>3.23</v>
      </c>
      <c r="K1649" t="inlineStr">
        <is>
          <t>P008279</t>
        </is>
      </c>
      <c r="L1649" s="663" t="e">
        <v>#REF!</v>
      </c>
    </row>
    <row r="1650">
      <c r="B1650" s="678" t="inlineStr">
        <is>
          <t>CH-ND0346WV</t>
        </is>
      </c>
      <c r="F1650" s="714" t="inlineStr">
        <is>
          <t>WHITE TINT PASTE CH-2</t>
        </is>
      </c>
      <c r="H1650" s="664" t="n">
        <v>1057</v>
      </c>
      <c r="I1650" s="665" t="n">
        <v>4.048</v>
      </c>
      <c r="J1650" s="666" t="inlineStr">
        <is>
          <t>KG</t>
        </is>
      </c>
      <c r="L1650" s="663" t="e">
        <v>#REF!</v>
      </c>
    </row>
    <row r="1651">
      <c r="B1651" s="678" t="inlineStr">
        <is>
          <t>CH-NM0225-30WV</t>
        </is>
      </c>
      <c r="F1651" s="675" t="inlineStr">
        <is>
          <t>TOP COAT 30 SHEEN</t>
        </is>
      </c>
      <c r="H1651" s="664" t="n">
        <v>1057</v>
      </c>
      <c r="I1651" s="665" t="n">
        <v>6.4</v>
      </c>
      <c r="J1651" s="666" t="inlineStr">
        <is>
          <t>KG</t>
        </is>
      </c>
      <c r="L1651" s="663" t="e">
        <v>#REF!</v>
      </c>
    </row>
    <row r="1652">
      <c r="B1652" s="678" t="inlineStr">
        <is>
          <t>180260HYD</t>
        </is>
      </c>
      <c r="F1652" s="675" t="inlineStr">
        <is>
          <t>F DURABLEND ESPRESSO 21400</t>
        </is>
      </c>
      <c r="H1652" s="664" t="n">
        <v>1035</v>
      </c>
      <c r="I1652" s="665" t="n">
        <v>5.74</v>
      </c>
      <c r="K1652" t="inlineStr">
        <is>
          <t>P008781</t>
        </is>
      </c>
      <c r="L1652" s="663" t="e">
        <v>#REF!</v>
      </c>
    </row>
    <row r="1653">
      <c r="B1653" s="678" t="n">
        <v>200267</v>
      </c>
      <c r="F1653" s="700" t="inlineStr">
        <is>
          <t xml:space="preserve">816#ABS GLUE      </t>
        </is>
      </c>
      <c r="I1653" s="665" t="n">
        <v>3.18</v>
      </c>
      <c r="J1653" s="666" t="inlineStr">
        <is>
          <t>KG</t>
        </is>
      </c>
      <c r="K1653" t="inlineStr">
        <is>
          <t>P008751</t>
        </is>
      </c>
      <c r="L1653" s="663" t="e">
        <v>#REF!</v>
      </c>
      <c r="M1653" t="inlineStr">
        <is>
          <t>KHAI KD</t>
        </is>
      </c>
    </row>
    <row r="1654">
      <c r="B1654" s="678" t="n">
        <v>111451</v>
      </c>
      <c r="F1654" s="700" t="inlineStr">
        <is>
          <t>F RAJASLATE 31901</t>
        </is>
      </c>
      <c r="H1654" s="664" t="n">
        <v>1002</v>
      </c>
      <c r="I1654" s="665" t="n">
        <v>6.51</v>
      </c>
      <c r="K1654" t="inlineStr">
        <is>
          <t>P008143</t>
        </is>
      </c>
      <c r="L1654" s="663" t="e">
        <v>#REF!</v>
      </c>
    </row>
    <row r="1655">
      <c r="B1655" s="678" t="n">
        <v>74712</v>
      </c>
      <c r="F1655" s="675" t="inlineStr">
        <is>
          <t>U-BRAD 3/4 INDECOR Z-FINISH</t>
        </is>
      </c>
      <c r="H1655" s="664" t="n">
        <v>1052</v>
      </c>
      <c r="I1655" s="665" t="n">
        <v>0.0331</v>
      </c>
      <c r="J1655" s="666" t="inlineStr">
        <is>
          <t>EA</t>
        </is>
      </c>
      <c r="K1655" t="inlineStr">
        <is>
          <t>P008668</t>
        </is>
      </c>
      <c r="L1655" s="663" t="e">
        <v>#REF!</v>
      </c>
    </row>
    <row r="1656">
      <c r="B1656" s="678" t="n">
        <v>3502024</v>
      </c>
      <c r="F1656" s="675" t="inlineStr">
        <is>
          <t>IMPROVED HIPS PLST FOR 04313</t>
        </is>
      </c>
      <c r="H1656" s="664" t="n">
        <v>1166</v>
      </c>
      <c r="I1656" s="665" t="n">
        <v>1.96</v>
      </c>
      <c r="J1656" s="666" t="inlineStr">
        <is>
          <t>KG</t>
        </is>
      </c>
      <c r="K1656" t="inlineStr">
        <is>
          <t>P008935</t>
        </is>
      </c>
      <c r="L1656" s="663" t="e">
        <v>#REF!</v>
      </c>
    </row>
    <row r="1657">
      <c r="B1657" s="678" t="n">
        <v>3502025</v>
      </c>
      <c r="F1657" s="675" t="inlineStr">
        <is>
          <t>IMPROVED HIPS PLST FOR 08664</t>
        </is>
      </c>
      <c r="H1657" s="664" t="n">
        <v>1166</v>
      </c>
      <c r="I1657" s="665" t="n">
        <v>1.96</v>
      </c>
      <c r="J1657" s="666" t="inlineStr">
        <is>
          <t>KG</t>
        </is>
      </c>
      <c r="K1657" t="inlineStr">
        <is>
          <t>P008935</t>
        </is>
      </c>
      <c r="L1657" s="663" t="e">
        <v>#REF!</v>
      </c>
    </row>
    <row r="1658">
      <c r="B1658" s="678" t="n">
        <v>3502038</v>
      </c>
      <c r="F1658" s="675" t="inlineStr">
        <is>
          <t>IMPROVED HIPS PLST FOR 06676</t>
        </is>
      </c>
      <c r="H1658" s="664" t="n">
        <v>1166</v>
      </c>
      <c r="I1658" s="665" t="n">
        <v>1.96</v>
      </c>
      <c r="J1658" s="666" t="inlineStr">
        <is>
          <t>KG</t>
        </is>
      </c>
      <c r="K1658" t="inlineStr">
        <is>
          <t>P008935</t>
        </is>
      </c>
      <c r="L1658" s="663" t="e">
        <v>#REF!</v>
      </c>
    </row>
    <row r="1659">
      <c r="B1659" s="678" t="n">
        <v>3502040</v>
      </c>
      <c r="F1659" s="675" t="inlineStr">
        <is>
          <t>ABS PLASTIC FOR 03837 INSERT</t>
        </is>
      </c>
      <c r="H1659" s="664" t="n">
        <v>1170</v>
      </c>
      <c r="I1659" s="665" t="n">
        <v>2.28</v>
      </c>
      <c r="J1659" s="666" t="inlineStr">
        <is>
          <t>KG</t>
        </is>
      </c>
      <c r="K1659" t="inlineStr">
        <is>
          <t>P008935</t>
        </is>
      </c>
      <c r="L1659" s="663" t="e">
        <v>#REF!</v>
      </c>
    </row>
    <row r="1660">
      <c r="B1660" s="678" t="n">
        <v>3502041</v>
      </c>
      <c r="F1660" s="675" t="inlineStr">
        <is>
          <t>ABS PLASTIC FOR 08323</t>
        </is>
      </c>
      <c r="H1660" s="664" t="n">
        <v>1170</v>
      </c>
      <c r="I1660" s="665" t="n">
        <v>2.28</v>
      </c>
      <c r="J1660" s="666" t="inlineStr">
        <is>
          <t>KG</t>
        </is>
      </c>
      <c r="K1660" t="inlineStr">
        <is>
          <t>P008935</t>
        </is>
      </c>
      <c r="L1660" s="663" t="e">
        <v>#REF!</v>
      </c>
    </row>
    <row r="1661">
      <c r="B1661" s="678" t="n">
        <v>3502022</v>
      </c>
      <c r="F1661" s="675" t="inlineStr">
        <is>
          <t>BLACK HIPS PLST FOR 02139</t>
        </is>
      </c>
      <c r="H1661" s="664" t="n">
        <v>1166</v>
      </c>
      <c r="I1661" s="665" t="n">
        <v>1.99</v>
      </c>
      <c r="J1661" s="666" t="inlineStr">
        <is>
          <t>KG</t>
        </is>
      </c>
      <c r="K1661" t="inlineStr">
        <is>
          <t>P008889</t>
        </is>
      </c>
      <c r="L1661" s="663" t="e">
        <v>#REF!</v>
      </c>
    </row>
    <row r="1662">
      <c r="B1662" s="678" t="n">
        <v>3502023</v>
      </c>
      <c r="F1662" s="675" t="inlineStr">
        <is>
          <t>IMPROVED HIPS PLASTIC</t>
        </is>
      </c>
      <c r="H1662" s="664" t="n">
        <v>1166</v>
      </c>
      <c r="I1662" s="665" t="n">
        <v>1.96</v>
      </c>
      <c r="J1662" s="666" t="inlineStr">
        <is>
          <t>KG</t>
        </is>
      </c>
      <c r="K1662" t="inlineStr">
        <is>
          <t>P008889</t>
        </is>
      </c>
      <c r="L1662" s="663" t="e">
        <v>#REF!</v>
      </c>
    </row>
    <row r="1663">
      <c r="B1663" s="678" t="n">
        <v>3502038</v>
      </c>
      <c r="F1663" s="675" t="inlineStr">
        <is>
          <t>IMPROVED HIPS PLST FOR 06676</t>
        </is>
      </c>
      <c r="H1663" s="664" t="n">
        <v>1166</v>
      </c>
      <c r="I1663" s="665" t="n">
        <v>1.99</v>
      </c>
      <c r="J1663" s="666" t="inlineStr">
        <is>
          <t>KG</t>
        </is>
      </c>
      <c r="K1663" t="inlineStr">
        <is>
          <t>P008889</t>
        </is>
      </c>
      <c r="L1663" s="663" t="e">
        <v>#REF!</v>
      </c>
    </row>
    <row r="1664">
      <c r="B1664" s="659" t="inlineStr">
        <is>
          <t>110887HYD</t>
        </is>
      </c>
      <c r="C1664" s="661" t="inlineStr">
        <is>
          <t>2107A</t>
        </is>
      </c>
      <c r="D1664" s="661" t="inlineStr">
        <is>
          <t>DONG TAI</t>
        </is>
      </c>
      <c r="E1664" s="661" t="inlineStr">
        <is>
          <t>RFRU</t>
        </is>
      </c>
      <c r="F1664" s="661" t="inlineStr">
        <is>
          <t>F SANMARCOCHOCOLATE 125/58363</t>
        </is>
      </c>
      <c r="G1664" s="662" t="inlineStr">
        <is>
          <t>I</t>
        </is>
      </c>
      <c r="H1664" s="664" t="n">
        <v>1035</v>
      </c>
      <c r="I1664" s="665" t="n">
        <v>3.77</v>
      </c>
      <c r="K1664" t="inlineStr">
        <is>
          <t>P008855</t>
        </is>
      </c>
      <c r="L1664" s="663" t="e">
        <v>#REF!</v>
      </c>
    </row>
    <row r="1665">
      <c r="B1665" s="678" t="n">
        <v>100996</v>
      </c>
      <c r="F1665" s="675" t="inlineStr">
        <is>
          <t>FR ALLZARINCRIMSON 94300</t>
        </is>
      </c>
      <c r="H1665" s="664" t="n">
        <v>1038</v>
      </c>
      <c r="I1665" s="665" t="n">
        <v>0.52</v>
      </c>
      <c r="J1665" s="666" t="inlineStr">
        <is>
          <t>M</t>
        </is>
      </c>
      <c r="K1665" t="inlineStr">
        <is>
          <t>P008874</t>
        </is>
      </c>
      <c r="L1665" s="663" t="e">
        <v>#REF!</v>
      </c>
    </row>
    <row r="1666">
      <c r="B1666" s="678" t="n">
        <v>100997</v>
      </c>
      <c r="F1666" s="675" t="inlineStr">
        <is>
          <t>FR GIMPLOVESTRUCK 94300</t>
        </is>
      </c>
      <c r="H1666" s="664" t="n">
        <v>1038</v>
      </c>
      <c r="I1666" s="665" t="n">
        <v>0.11</v>
      </c>
      <c r="J1666" s="666" t="inlineStr">
        <is>
          <t>M</t>
        </is>
      </c>
      <c r="K1666" t="inlineStr">
        <is>
          <t>P008874</t>
        </is>
      </c>
      <c r="L1666" s="663" t="e">
        <v>#REF!</v>
      </c>
    </row>
    <row r="1667">
      <c r="B1667" s="678" t="n">
        <v>101071</v>
      </c>
      <c r="F1667" s="675" t="inlineStr">
        <is>
          <t>FRINGE TAEPER 71201</t>
        </is>
      </c>
      <c r="H1667" s="664" t="n">
        <v>1038</v>
      </c>
      <c r="I1667" s="665" t="n">
        <v>0.4704</v>
      </c>
      <c r="J1667" s="666" t="inlineStr">
        <is>
          <t>M</t>
        </is>
      </c>
      <c r="K1667" t="inlineStr">
        <is>
          <t>P008874</t>
        </is>
      </c>
      <c r="L1667" s="663" t="e">
        <v>#REF!</v>
      </c>
    </row>
    <row r="1668">
      <c r="B1668" s="678" t="n">
        <v>101090</v>
      </c>
      <c r="F1668" s="675" t="inlineStr">
        <is>
          <t>BUTTON#30 2.5IN PRONG 71201(B)</t>
        </is>
      </c>
      <c r="H1668" s="664" t="n">
        <v>1036</v>
      </c>
      <c r="I1668" s="665" t="n">
        <v>0.0393</v>
      </c>
      <c r="J1668" s="666" t="inlineStr">
        <is>
          <t>EA</t>
        </is>
      </c>
      <c r="K1668" t="inlineStr">
        <is>
          <t>P008874</t>
        </is>
      </c>
      <c r="L1668" s="663" t="e">
        <v>#REF!</v>
      </c>
    </row>
    <row r="1669">
      <c r="B1669" s="678" t="inlineStr">
        <is>
          <t>CH-NM0224-10WV</t>
        </is>
      </c>
      <c r="F1669" s="675" t="inlineStr">
        <is>
          <t>10 SHEEN NC TOP COAT</t>
        </is>
      </c>
      <c r="H1669" s="664" t="n">
        <v>1057</v>
      </c>
      <c r="I1669" s="665" t="n">
        <v>3.805</v>
      </c>
      <c r="J1669" s="666" t="inlineStr">
        <is>
          <t>KG</t>
        </is>
      </c>
      <c r="K1669" t="inlineStr">
        <is>
          <t>P008827</t>
        </is>
      </c>
      <c r="L1669" s="663" t="e">
        <v>#REF!</v>
      </c>
    </row>
    <row r="1670">
      <c r="B1670" s="678" t="inlineStr">
        <is>
          <t>CH-GL0347WV</t>
        </is>
      </c>
      <c r="F1670" s="675" t="inlineStr">
        <is>
          <t>GLAZE BASE CH-5</t>
        </is>
      </c>
      <c r="H1670" s="664" t="n">
        <v>1058</v>
      </c>
      <c r="I1670" s="665" t="n">
        <v>10.69</v>
      </c>
      <c r="J1670" s="666" t="inlineStr">
        <is>
          <t>KG</t>
        </is>
      </c>
      <c r="K1670" t="inlineStr">
        <is>
          <t>P008827</t>
        </is>
      </c>
      <c r="L1670" s="663" t="e">
        <v>#REF!</v>
      </c>
    </row>
    <row r="1671">
      <c r="B1671" s="678" t="n">
        <v>111673</v>
      </c>
      <c r="F1671" s="700" t="inlineStr">
        <is>
          <t xml:space="preserve">F CHAI RUSTIC 86800       </t>
        </is>
      </c>
      <c r="I1671" s="665" t="n">
        <v>3.89</v>
      </c>
      <c r="K1671" t="inlineStr">
        <is>
          <t>p008300</t>
        </is>
      </c>
      <c r="L1671" s="663" t="e">
        <v>#REF!</v>
      </c>
    </row>
    <row r="1672">
      <c r="B1672" s="678" t="n">
        <v>111637</v>
      </c>
      <c r="F1672" s="715" t="inlineStr">
        <is>
          <t xml:space="preserve">F (DN12318PD)MOCHA(3) 70001     </t>
        </is>
      </c>
      <c r="H1672" s="664" t="n">
        <v>1002</v>
      </c>
      <c r="I1672" s="665" t="n">
        <v>3.11</v>
      </c>
      <c r="K1672" t="inlineStr">
        <is>
          <t>p008453</t>
        </is>
      </c>
      <c r="L1672" s="663" t="e">
        <v>#REF!</v>
      </c>
    </row>
    <row r="1673">
      <c r="B1673" s="678" t="n">
        <v>140197</v>
      </c>
      <c r="F1673" s="675" t="inlineStr">
        <is>
          <t>L AXIOMWALNUT 42000</t>
        </is>
      </c>
      <c r="H1673" s="664" t="n">
        <v>1007</v>
      </c>
      <c r="I1673" s="665" t="n">
        <v>1.85</v>
      </c>
      <c r="K1673" t="inlineStr">
        <is>
          <t>P008860</t>
        </is>
      </c>
      <c r="L1673" s="663" t="e">
        <v>#REF!</v>
      </c>
    </row>
    <row r="1674">
      <c r="B1674" s="678" t="n">
        <v>160120</v>
      </c>
      <c r="F1674" s="675" t="inlineStr">
        <is>
          <t>S AXIOMWALNUT 42000</t>
        </is>
      </c>
      <c r="H1674" s="664" t="n">
        <v>1007</v>
      </c>
      <c r="I1674" s="665" t="n">
        <v>0.97</v>
      </c>
      <c r="K1674" t="inlineStr">
        <is>
          <t>P008860</t>
        </is>
      </c>
      <c r="L1674" s="663" t="e">
        <v>#REF!</v>
      </c>
    </row>
    <row r="1675">
      <c r="B1675" s="678" t="n">
        <v>111062</v>
      </c>
      <c r="F1675" s="700" t="inlineStr">
        <is>
          <t>F PHAROAHTAPESTRY 42000</t>
        </is>
      </c>
      <c r="H1675" s="664" t="n">
        <v>1066</v>
      </c>
      <c r="I1675" s="665" t="n">
        <v>9.74</v>
      </c>
      <c r="K1675" t="inlineStr">
        <is>
          <t>PZ50024</t>
        </is>
      </c>
      <c r="L1675" s="663" t="e">
        <v>#REF!</v>
      </c>
    </row>
    <row r="1676">
      <c r="B1676" s="678" t="n">
        <v>3501003</v>
      </c>
      <c r="F1676" s="675" t="inlineStr">
        <is>
          <t>ABS PLASTIC FOR 75036</t>
        </is>
      </c>
      <c r="H1676" s="664" t="n">
        <v>1170</v>
      </c>
      <c r="I1676" s="665" t="n">
        <v>2.28</v>
      </c>
      <c r="J1676" s="666" t="inlineStr">
        <is>
          <t>KG</t>
        </is>
      </c>
      <c r="K1676" t="inlineStr">
        <is>
          <t>P09036</t>
        </is>
      </c>
      <c r="L1676" s="663" t="e">
        <v>#REF!</v>
      </c>
    </row>
    <row r="1677">
      <c r="B1677" s="678" t="n">
        <v>3502004</v>
      </c>
      <c r="F1677" s="675" t="inlineStr">
        <is>
          <t>ABS PLASTIC FOR 77489</t>
        </is>
      </c>
      <c r="H1677" s="664" t="n">
        <v>1170</v>
      </c>
      <c r="I1677" s="665" t="n">
        <v>2.28</v>
      </c>
      <c r="J1677" s="666" t="inlineStr">
        <is>
          <t>KG</t>
        </is>
      </c>
      <c r="K1677" t="inlineStr">
        <is>
          <t>P09036</t>
        </is>
      </c>
      <c r="L1677" s="663" t="e">
        <v>#REF!</v>
      </c>
    </row>
    <row r="1678">
      <c r="B1678" s="678" t="n">
        <v>3502005</v>
      </c>
      <c r="F1678" s="675" t="inlineStr">
        <is>
          <t>ABS PLASTIC FOR 77488</t>
        </is>
      </c>
      <c r="H1678" s="664" t="n">
        <v>1170</v>
      </c>
      <c r="I1678" s="665" t="n">
        <v>2.28</v>
      </c>
      <c r="J1678" s="666" t="inlineStr">
        <is>
          <t>KG</t>
        </is>
      </c>
      <c r="K1678" t="inlineStr">
        <is>
          <t>P09036</t>
        </is>
      </c>
      <c r="L1678" s="663" t="e">
        <v>#REF!</v>
      </c>
    </row>
    <row r="1679">
      <c r="B1679" s="678" t="n">
        <v>3502013</v>
      </c>
      <c r="F1679" s="675" t="inlineStr">
        <is>
          <t>PP PLASTIC FOR 72064</t>
        </is>
      </c>
      <c r="H1679" s="664" t="n">
        <v>1172</v>
      </c>
      <c r="I1679" s="665" t="n">
        <v>1.7</v>
      </c>
      <c r="J1679" s="666" t="inlineStr">
        <is>
          <t>KG</t>
        </is>
      </c>
      <c r="K1679" t="inlineStr">
        <is>
          <t>P09036</t>
        </is>
      </c>
      <c r="L1679" s="663" t="e">
        <v>#REF!</v>
      </c>
    </row>
    <row r="1680">
      <c r="B1680" s="678" t="n">
        <v>3502014</v>
      </c>
      <c r="F1680" s="675" t="inlineStr">
        <is>
          <t>BLACK PP PLASTIC FOR 91351</t>
        </is>
      </c>
      <c r="H1680" s="664" t="n">
        <v>1172</v>
      </c>
      <c r="I1680" s="665" t="n">
        <v>1.78</v>
      </c>
      <c r="J1680" s="666" t="inlineStr">
        <is>
          <t>KG</t>
        </is>
      </c>
      <c r="K1680" t="inlineStr">
        <is>
          <t>P09036</t>
        </is>
      </c>
      <c r="L1680" s="663" t="e">
        <v>#REF!</v>
      </c>
    </row>
    <row r="1681">
      <c r="B1681" s="678" t="n">
        <v>3502015</v>
      </c>
      <c r="F1681" s="675" t="inlineStr">
        <is>
          <t>PP PLASTIC FOR 73756P</t>
        </is>
      </c>
      <c r="H1681" s="664" t="n">
        <v>1172</v>
      </c>
      <c r="I1681" s="665" t="n">
        <v>1.7</v>
      </c>
      <c r="J1681" s="666" t="inlineStr">
        <is>
          <t>KG</t>
        </is>
      </c>
      <c r="K1681" t="inlineStr">
        <is>
          <t>P09036</t>
        </is>
      </c>
      <c r="L1681" s="663" t="e">
        <v>#REF!</v>
      </c>
    </row>
    <row r="1682">
      <c r="B1682" s="678" t="n">
        <v>3502026</v>
      </c>
      <c r="F1682" s="675" t="inlineStr">
        <is>
          <t>PP PLASTIC FOR 01350</t>
        </is>
      </c>
      <c r="H1682" s="664" t="n">
        <v>1172</v>
      </c>
      <c r="I1682" s="665" t="n">
        <v>1.7</v>
      </c>
      <c r="J1682" s="666" t="inlineStr">
        <is>
          <t>KG</t>
        </is>
      </c>
      <c r="K1682" t="inlineStr">
        <is>
          <t>P09036</t>
        </is>
      </c>
      <c r="L1682" s="663" t="e">
        <v>#REF!</v>
      </c>
    </row>
    <row r="1683">
      <c r="B1683" s="678" t="n">
        <v>3502027</v>
      </c>
      <c r="F1683" s="675" t="inlineStr">
        <is>
          <t>PP PLASTIC FOR 01660</t>
        </is>
      </c>
      <c r="H1683" s="664" t="n">
        <v>1172</v>
      </c>
      <c r="I1683" s="665" t="n">
        <v>1.7</v>
      </c>
      <c r="J1683" s="666" t="inlineStr">
        <is>
          <t>KG</t>
        </is>
      </c>
      <c r="K1683" t="inlineStr">
        <is>
          <t>P09036</t>
        </is>
      </c>
      <c r="L1683" s="663" t="e">
        <v>#REF!</v>
      </c>
    </row>
    <row r="1684">
      <c r="B1684" s="678" t="n">
        <v>3502028</v>
      </c>
      <c r="F1684" s="675" t="inlineStr">
        <is>
          <t>PP PLASTIC FOR 01661</t>
        </is>
      </c>
      <c r="H1684" s="664" t="n">
        <v>1172</v>
      </c>
      <c r="I1684" s="665" t="n">
        <v>1.78</v>
      </c>
      <c r="J1684" s="666" t="inlineStr">
        <is>
          <t>KG</t>
        </is>
      </c>
      <c r="K1684" t="inlineStr">
        <is>
          <t>P09036</t>
        </is>
      </c>
      <c r="L1684" s="663" t="e">
        <v>#REF!</v>
      </c>
    </row>
    <row r="1685">
      <c r="B1685" s="678" t="n">
        <v>3502049</v>
      </c>
      <c r="F1685" s="675" t="inlineStr">
        <is>
          <t>PP PLASTIC FOR 03908 &amp; 06756</t>
        </is>
      </c>
      <c r="H1685" s="664" t="n">
        <v>1172</v>
      </c>
      <c r="I1685" s="665" t="n">
        <v>1.78</v>
      </c>
      <c r="J1685" s="666" t="inlineStr">
        <is>
          <t>KG</t>
        </is>
      </c>
      <c r="K1685" t="inlineStr">
        <is>
          <t>P09036</t>
        </is>
      </c>
      <c r="L1685" s="663" t="e">
        <v>#REF!</v>
      </c>
    </row>
    <row r="1686">
      <c r="B1686" s="678" t="n">
        <v>3502050</v>
      </c>
      <c r="F1686" s="675" t="inlineStr">
        <is>
          <t>PP PLASTIC FOR 08136 &amp; 08137</t>
        </is>
      </c>
      <c r="H1686" s="664" t="n">
        <v>1172</v>
      </c>
      <c r="I1686" s="665" t="n">
        <v>1.78</v>
      </c>
      <c r="J1686" s="666" t="inlineStr">
        <is>
          <t>KG</t>
        </is>
      </c>
      <c r="K1686" t="inlineStr">
        <is>
          <t>P09036</t>
        </is>
      </c>
      <c r="L1686" s="663" t="e">
        <v>#REF!</v>
      </c>
    </row>
    <row r="1687">
      <c r="B1687" s="678" t="n">
        <v>3502055</v>
      </c>
      <c r="F1687" s="675" t="inlineStr">
        <is>
          <t>WHITE PP PLASTIC FOR 04408</t>
        </is>
      </c>
      <c r="H1687" s="664" t="n">
        <v>1172</v>
      </c>
      <c r="I1687" s="665" t="n">
        <v>1.78</v>
      </c>
      <c r="J1687" s="666" t="inlineStr">
        <is>
          <t>KG</t>
        </is>
      </c>
      <c r="K1687" t="inlineStr">
        <is>
          <t>P09036</t>
        </is>
      </c>
      <c r="L1687" s="663" t="e">
        <v>#REF!</v>
      </c>
    </row>
    <row r="1688">
      <c r="B1688" s="678" t="n">
        <v>3502061</v>
      </c>
      <c r="F1688" s="675" t="inlineStr">
        <is>
          <t>BLK ABS PLST FOR 1681&amp; 2&amp;3</t>
        </is>
      </c>
      <c r="H1688" s="664" t="n">
        <v>1170</v>
      </c>
      <c r="I1688" s="665" t="n">
        <v>2.28</v>
      </c>
      <c r="J1688" s="666" t="inlineStr">
        <is>
          <t>KG</t>
        </is>
      </c>
      <c r="K1688" t="inlineStr">
        <is>
          <t>P09036</t>
        </is>
      </c>
      <c r="L1688" s="663" t="e">
        <v>#REF!</v>
      </c>
    </row>
    <row r="1689">
      <c r="B1689" s="678" t="n">
        <v>3502065</v>
      </c>
      <c r="F1689" s="675" t="inlineStr">
        <is>
          <t>BLACK ABS PLST FOR 74710</t>
        </is>
      </c>
      <c r="H1689" s="664" t="n">
        <v>1170</v>
      </c>
      <c r="I1689" s="665" t="n">
        <v>2.4</v>
      </c>
      <c r="J1689" s="666" t="inlineStr">
        <is>
          <t>KG</t>
        </is>
      </c>
      <c r="K1689" t="inlineStr">
        <is>
          <t>P09036</t>
        </is>
      </c>
      <c r="L1689" s="663" t="e">
        <v>#REF!</v>
      </c>
    </row>
    <row r="1690">
      <c r="B1690" s="678" t="n">
        <v>3502076</v>
      </c>
      <c r="F1690" s="675" t="inlineStr">
        <is>
          <t>POM PLASTIC FOR 76739</t>
        </is>
      </c>
      <c r="H1690" s="664" t="n">
        <v>1172</v>
      </c>
      <c r="I1690" s="665" t="n">
        <v>2.33</v>
      </c>
      <c r="J1690" s="666" t="inlineStr">
        <is>
          <t>KG</t>
        </is>
      </c>
      <c r="K1690" t="inlineStr">
        <is>
          <t>P09036</t>
        </is>
      </c>
      <c r="L1690" s="663" t="e">
        <v>#REF!</v>
      </c>
    </row>
    <row r="1691">
      <c r="B1691" s="678" t="n">
        <v>3501003</v>
      </c>
      <c r="F1691" s="675" t="inlineStr">
        <is>
          <t>ABS PLASTIC FOR 75036</t>
        </is>
      </c>
      <c r="H1691" s="664" t="n">
        <v>1170</v>
      </c>
      <c r="I1691" s="665" t="n">
        <v>2.4</v>
      </c>
      <c r="J1691" s="666" t="inlineStr">
        <is>
          <t>KG</t>
        </is>
      </c>
      <c r="K1691" t="inlineStr">
        <is>
          <t>P009076</t>
        </is>
      </c>
      <c r="L1691" s="663" t="e">
        <v>#REF!</v>
      </c>
    </row>
    <row r="1692">
      <c r="B1692" s="678" t="n">
        <v>3502004</v>
      </c>
      <c r="F1692" s="675" t="inlineStr">
        <is>
          <t>ABS PLASTIC FOR 77489</t>
        </is>
      </c>
      <c r="H1692" s="664" t="n">
        <v>1170</v>
      </c>
      <c r="I1692" s="665" t="n">
        <v>2.4</v>
      </c>
      <c r="J1692" s="666" t="inlineStr">
        <is>
          <t>KG</t>
        </is>
      </c>
      <c r="K1692" t="inlineStr">
        <is>
          <t>P009076</t>
        </is>
      </c>
      <c r="L1692" s="663" t="e">
        <v>#REF!</v>
      </c>
    </row>
    <row r="1693">
      <c r="B1693" s="678" t="n">
        <v>3502062</v>
      </c>
      <c r="F1693" s="675" t="inlineStr">
        <is>
          <t>WHT ABS PLST FOR 3974 &amp;5&amp;6</t>
        </is>
      </c>
      <c r="H1693" s="664" t="n">
        <v>1170</v>
      </c>
      <c r="I1693" s="665" t="n">
        <v>2.4</v>
      </c>
      <c r="J1693" s="666" t="inlineStr">
        <is>
          <t>KG</t>
        </is>
      </c>
      <c r="K1693" t="inlineStr">
        <is>
          <t>P009076</t>
        </is>
      </c>
      <c r="L1693" s="663" t="e">
        <v>#REF!</v>
      </c>
    </row>
    <row r="1694">
      <c r="B1694" s="678" t="n">
        <v>3502046</v>
      </c>
      <c r="F1694" s="675" t="inlineStr">
        <is>
          <t>ABS PLASTIC FOR 03421</t>
        </is>
      </c>
      <c r="H1694" s="664" t="n">
        <v>1170</v>
      </c>
      <c r="I1694" s="665" t="n">
        <v>2.4</v>
      </c>
      <c r="J1694" s="666" t="inlineStr">
        <is>
          <t>KG</t>
        </is>
      </c>
      <c r="K1694" t="inlineStr">
        <is>
          <t>P009076</t>
        </is>
      </c>
      <c r="L1694" s="663" t="e">
        <v>#REF!</v>
      </c>
    </row>
    <row r="1695">
      <c r="B1695" s="678" t="n">
        <v>3502066</v>
      </c>
      <c r="F1695" s="675" t="inlineStr">
        <is>
          <t>NYLON PLASTIC FOR 78027</t>
        </is>
      </c>
      <c r="H1695" s="664" t="n">
        <v>1173</v>
      </c>
      <c r="I1695" s="665" t="n">
        <v>3.8</v>
      </c>
      <c r="J1695" s="666" t="inlineStr">
        <is>
          <t>KG</t>
        </is>
      </c>
      <c r="K1695" t="inlineStr">
        <is>
          <t>P009076</t>
        </is>
      </c>
      <c r="L1695" s="663" t="e">
        <v>#REF!</v>
      </c>
    </row>
    <row r="1696">
      <c r="B1696" s="678" t="n">
        <v>3502077</v>
      </c>
      <c r="F1696" s="675" t="inlineStr">
        <is>
          <t>PC PLASTIC FOR 01772&amp;01773</t>
        </is>
      </c>
      <c r="H1696" s="664" t="n">
        <v>1174</v>
      </c>
      <c r="I1696" s="665" t="n">
        <v>3.3</v>
      </c>
      <c r="J1696" s="666" t="inlineStr">
        <is>
          <t>KG</t>
        </is>
      </c>
      <c r="K1696" t="inlineStr">
        <is>
          <t>P009076</t>
        </is>
      </c>
      <c r="L1696" s="663" t="e">
        <v>#REF!</v>
      </c>
    </row>
    <row r="1697">
      <c r="B1697" s="678" t="inlineStr">
        <is>
          <t xml:space="preserve">111098N </t>
        </is>
      </c>
      <c r="F1697" s="675" t="inlineStr">
        <is>
          <t>F DURAHIDEBICASTBROWN194/58501</t>
        </is>
      </c>
      <c r="H1697" s="664" t="n">
        <v>1035</v>
      </c>
      <c r="I1697" s="665" t="n">
        <v>2.52</v>
      </c>
      <c r="K1697" t="inlineStr">
        <is>
          <t>PZ50147</t>
        </is>
      </c>
      <c r="L1697" s="663" t="e">
        <v>#REF!</v>
      </c>
    </row>
    <row r="1698">
      <c r="B1698" s="678" t="n">
        <v>3502018</v>
      </c>
      <c r="F1698" s="675" t="inlineStr">
        <is>
          <t>HIPS PLASTIC FOR 01631</t>
        </is>
      </c>
      <c r="H1698" s="664" t="n">
        <v>1166</v>
      </c>
      <c r="I1698" s="665" t="n">
        <v>2.11</v>
      </c>
      <c r="J1698" s="666" t="inlineStr">
        <is>
          <t>KG</t>
        </is>
      </c>
      <c r="K1698" t="inlineStr">
        <is>
          <t>P009035</t>
        </is>
      </c>
      <c r="L1698" s="663" t="e">
        <v>#REF!</v>
      </c>
    </row>
    <row r="1699">
      <c r="B1699" s="678" t="n">
        <v>3502019</v>
      </c>
      <c r="F1699" s="675" t="inlineStr">
        <is>
          <t>HIPS PLASTIC FOR 04901</t>
        </is>
      </c>
      <c r="H1699" s="664" t="n">
        <v>1166</v>
      </c>
      <c r="I1699" s="665" t="n">
        <v>2.11</v>
      </c>
      <c r="J1699" s="666" t="inlineStr">
        <is>
          <t>KG</t>
        </is>
      </c>
      <c r="K1699" t="inlineStr">
        <is>
          <t>P009035</t>
        </is>
      </c>
      <c r="L1699" s="663" t="e">
        <v>#REF!</v>
      </c>
    </row>
    <row r="1700">
      <c r="B1700" s="678" t="n">
        <v>3502035</v>
      </c>
      <c r="F1700" s="675" t="inlineStr">
        <is>
          <t>HIPS PLASTIC FOR 1681</t>
        </is>
      </c>
      <c r="H1700" s="664" t="n">
        <v>1166</v>
      </c>
      <c r="I1700" s="665" t="n">
        <v>2.11</v>
      </c>
      <c r="J1700" s="666" t="inlineStr">
        <is>
          <t>KG</t>
        </is>
      </c>
      <c r="K1700" t="inlineStr">
        <is>
          <t>P009035</t>
        </is>
      </c>
      <c r="L1700" s="663" t="e">
        <v>#REF!</v>
      </c>
    </row>
    <row r="1701">
      <c r="B1701" s="678" t="n">
        <v>3502036</v>
      </c>
      <c r="F1701" s="675" t="inlineStr">
        <is>
          <t>HIPS PLASTIC FOR 3974</t>
        </is>
      </c>
      <c r="H1701" s="664" t="n">
        <v>1166</v>
      </c>
      <c r="I1701" s="665" t="n">
        <v>2.11</v>
      </c>
      <c r="J1701" s="666" t="inlineStr">
        <is>
          <t>KG</t>
        </is>
      </c>
      <c r="K1701" t="inlineStr">
        <is>
          <t>P009035</t>
        </is>
      </c>
      <c r="L1701" s="663" t="e">
        <v>#REF!</v>
      </c>
    </row>
    <row r="1702">
      <c r="B1702" s="678" t="n">
        <v>3502037</v>
      </c>
      <c r="F1702" s="675" t="inlineStr">
        <is>
          <t>HIPS PLASTIC FOR 06754</t>
        </is>
      </c>
      <c r="H1702" s="664" t="n">
        <v>1166</v>
      </c>
      <c r="I1702" s="665" t="n">
        <v>1.96</v>
      </c>
      <c r="J1702" s="666" t="inlineStr">
        <is>
          <t>KG</t>
        </is>
      </c>
      <c r="K1702" t="inlineStr">
        <is>
          <t>P009035</t>
        </is>
      </c>
      <c r="L1702" s="663" t="e">
        <v>#REF!</v>
      </c>
    </row>
    <row r="1703">
      <c r="B1703" s="678" t="n">
        <v>3502053</v>
      </c>
      <c r="F1703" s="675" t="inlineStr">
        <is>
          <t>NYLON WITH 30% FIBER FOR 04051</t>
        </is>
      </c>
      <c r="H1703" s="664" t="n">
        <v>1173</v>
      </c>
      <c r="I1703" s="665" t="n">
        <v>3.8</v>
      </c>
      <c r="J1703" s="666" t="inlineStr">
        <is>
          <t>KG</t>
        </is>
      </c>
      <c r="K1703" t="inlineStr">
        <is>
          <t>P009035</t>
        </is>
      </c>
      <c r="L1703" s="663" t="e">
        <v>#REF!</v>
      </c>
    </row>
    <row r="1704">
      <c r="B1704" s="678" t="n">
        <v>3502056</v>
      </c>
      <c r="F1704" s="675" t="inlineStr">
        <is>
          <t>WHITE TPE PLASTIC FOR 04408</t>
        </is>
      </c>
      <c r="H1704" s="664" t="n">
        <v>1172</v>
      </c>
      <c r="I1704" s="665" t="n">
        <v>3.8</v>
      </c>
      <c r="J1704" s="666" t="inlineStr">
        <is>
          <t>KG</t>
        </is>
      </c>
      <c r="K1704" t="inlineStr">
        <is>
          <t>P009035</t>
        </is>
      </c>
      <c r="L1704" s="663" t="e">
        <v>#REF!</v>
      </c>
    </row>
    <row r="1705">
      <c r="B1705" s="678" t="n">
        <v>3502058</v>
      </c>
      <c r="F1705" s="675" t="inlineStr">
        <is>
          <t>CREAM TPE PLASTIC FOR 04422</t>
        </is>
      </c>
      <c r="H1705" s="664" t="n">
        <v>1172</v>
      </c>
      <c r="I1705" s="665" t="n">
        <v>3.8</v>
      </c>
      <c r="J1705" s="666" t="inlineStr">
        <is>
          <t>KG</t>
        </is>
      </c>
      <c r="K1705" t="inlineStr">
        <is>
          <t>P009035</t>
        </is>
      </c>
      <c r="L1705" s="663" t="e">
        <v>#REF!</v>
      </c>
    </row>
    <row r="1706">
      <c r="B1706" s="678" t="n">
        <v>3502059</v>
      </c>
      <c r="F1706" s="675" t="inlineStr">
        <is>
          <t>BROWN TPE PLASTIC FOR 04436</t>
        </is>
      </c>
      <c r="H1706" s="664" t="n">
        <v>1172</v>
      </c>
      <c r="I1706" s="665" t="n">
        <v>3.8</v>
      </c>
      <c r="J1706" s="666" t="inlineStr">
        <is>
          <t>KG</t>
        </is>
      </c>
      <c r="K1706" t="inlineStr">
        <is>
          <t>P009035</t>
        </is>
      </c>
      <c r="L1706" s="663" t="e">
        <v>#REF!</v>
      </c>
    </row>
    <row r="1707">
      <c r="B1707" s="678" t="n">
        <v>3502060</v>
      </c>
      <c r="F1707" s="675" t="inlineStr">
        <is>
          <t>BLACK TPE PLASTIC FOR 044444</t>
        </is>
      </c>
      <c r="H1707" s="664" t="n">
        <v>1172</v>
      </c>
      <c r="I1707" s="665" t="n">
        <v>3.8</v>
      </c>
      <c r="J1707" s="666" t="inlineStr">
        <is>
          <t>KG</t>
        </is>
      </c>
      <c r="K1707" t="inlineStr">
        <is>
          <t>P009035</t>
        </is>
      </c>
      <c r="L1707" s="663" t="e">
        <v>#REF!</v>
      </c>
    </row>
    <row r="1708">
      <c r="B1708" s="678" t="n">
        <v>3502069</v>
      </c>
      <c r="F1708" s="675" t="inlineStr">
        <is>
          <t>TPE PLASTIC FOR 77890 PAD</t>
        </is>
      </c>
      <c r="H1708" s="664" t="n">
        <v>1172</v>
      </c>
      <c r="I1708" s="665" t="n">
        <v>3.8</v>
      </c>
      <c r="J1708" s="666" t="inlineStr">
        <is>
          <t>KG</t>
        </is>
      </c>
      <c r="K1708" t="inlineStr">
        <is>
          <t>P009035</t>
        </is>
      </c>
      <c r="L1708" s="663" t="e">
        <v>#REF!</v>
      </c>
    </row>
    <row r="1709">
      <c r="B1709" s="678" t="n">
        <v>3502057</v>
      </c>
      <c r="F1709" s="675" t="inlineStr">
        <is>
          <t>CREAM PP PLASTIC FOR 04422</t>
        </is>
      </c>
      <c r="H1709" s="664" t="n">
        <v>1172</v>
      </c>
      <c r="I1709" s="665" t="n">
        <v>2.05</v>
      </c>
      <c r="J1709" s="666" t="inlineStr">
        <is>
          <t>KG</t>
        </is>
      </c>
      <c r="K1709" t="inlineStr">
        <is>
          <t>P009035</t>
        </is>
      </c>
      <c r="L1709" s="663" t="e">
        <v>#REF!</v>
      </c>
    </row>
    <row r="1710">
      <c r="B1710" s="678" t="n">
        <v>3502075</v>
      </c>
      <c r="F1710" s="675" t="inlineStr">
        <is>
          <t>ABS+PC PLASTIC FOR 04147</t>
        </is>
      </c>
      <c r="H1710" s="664" t="n">
        <v>1170</v>
      </c>
      <c r="I1710" s="665" t="n">
        <v>2.62</v>
      </c>
      <c r="J1710" s="666" t="inlineStr">
        <is>
          <t>KG</t>
        </is>
      </c>
      <c r="K1710" t="inlineStr">
        <is>
          <t>P009035</t>
        </is>
      </c>
      <c r="L1710" s="663" t="e">
        <v>#REF!</v>
      </c>
    </row>
    <row r="1711">
      <c r="B1711" s="678" t="n">
        <v>280164</v>
      </c>
      <c r="F1711" s="675" t="inlineStr">
        <is>
          <t xml:space="preserve"> PLYWOOD 2440x1220x6MM</t>
        </is>
      </c>
      <c r="H1711" s="664" t="n">
        <v>1055</v>
      </c>
      <c r="I1711" s="665" t="n">
        <v>6.126</v>
      </c>
      <c r="J1711" s="666" t="inlineStr">
        <is>
          <t>EA</t>
        </is>
      </c>
      <c r="L1711" s="663" t="e">
        <v>#REF!</v>
      </c>
    </row>
    <row r="1712">
      <c r="B1712" s="678" t="n">
        <v>200434</v>
      </c>
      <c r="F1712" s="700" t="inlineStr">
        <is>
          <t xml:space="preserve">LOVE RAIL BRAD STRIP 605MM   </t>
        </is>
      </c>
      <c r="H1712" s="664" t="n">
        <v>1183</v>
      </c>
      <c r="I1712" s="665" t="n">
        <v>0.45</v>
      </c>
      <c r="J1712" s="666" t="inlineStr">
        <is>
          <t>EA</t>
        </is>
      </c>
      <c r="K1712" t="inlineStr">
        <is>
          <t>P009067</t>
        </is>
      </c>
      <c r="L1712" s="663" t="e">
        <v>#REF!</v>
      </c>
      <c r="M1712" t="inlineStr">
        <is>
          <t>KHAI KD</t>
        </is>
      </c>
    </row>
    <row r="1713">
      <c r="B1713" s="678" t="n">
        <v>200435</v>
      </c>
      <c r="F1713" s="700" t="inlineStr">
        <is>
          <t xml:space="preserve">SOFA RAIL BRAD STRIP 880MM  </t>
        </is>
      </c>
      <c r="H1713" s="664" t="n">
        <v>1183</v>
      </c>
      <c r="I1713" s="665" t="n">
        <v>0.62</v>
      </c>
      <c r="J1713" s="666" t="inlineStr">
        <is>
          <t>EA</t>
        </is>
      </c>
      <c r="K1713" t="inlineStr">
        <is>
          <t>P009067</t>
        </is>
      </c>
      <c r="L1713" s="663" t="e">
        <v>#REF!</v>
      </c>
      <c r="M1713" t="inlineStr">
        <is>
          <t>KHAI KD</t>
        </is>
      </c>
      <c r="N1713" t="inlineStr">
        <is>
          <t>KHAI sxx P009316</t>
        </is>
      </c>
    </row>
    <row r="1714">
      <c r="B1714" s="678" t="n">
        <v>333247</v>
      </c>
      <c r="F1714" s="700" t="inlineStr">
        <is>
          <t xml:space="preserve">U918 SHOWOOD LEG KIT ROUND 4/P </t>
        </is>
      </c>
      <c r="I1714" s="665" t="n">
        <v>4.24</v>
      </c>
      <c r="J1714" s="666" t="inlineStr">
        <is>
          <t>EA</t>
        </is>
      </c>
      <c r="K1714" t="inlineStr">
        <is>
          <t>P009072</t>
        </is>
      </c>
      <c r="L1714" s="663" t="e">
        <v>#REF!</v>
      </c>
      <c r="M1714" t="inlineStr">
        <is>
          <t>KHAI KD</t>
        </is>
      </c>
    </row>
    <row r="1715">
      <c r="B1715" s="678" t="inlineStr">
        <is>
          <t>CG0070047</t>
        </is>
      </c>
      <c r="F1715" s="700" t="inlineStr">
        <is>
          <t xml:space="preserve">B182 CHROME EDGE BAND     </t>
        </is>
      </c>
      <c r="H1715" s="664" t="n">
        <v>1184</v>
      </c>
      <c r="I1715" s="665" t="n">
        <v>0.45</v>
      </c>
      <c r="J1715" s="666" t="inlineStr">
        <is>
          <t>M</t>
        </is>
      </c>
      <c r="K1715" t="inlineStr">
        <is>
          <t>P009072</t>
        </is>
      </c>
      <c r="L1715" s="663" t="e">
        <v>#REF!</v>
      </c>
      <c r="M1715" t="inlineStr">
        <is>
          <t>KHAI KD</t>
        </is>
      </c>
      <c r="N1715" t="inlineStr">
        <is>
          <t>KHAI sxx P009538</t>
        </is>
      </c>
    </row>
    <row r="1716">
      <c r="B1716" s="678" t="n">
        <v>110218</v>
      </c>
      <c r="F1716" s="700" t="inlineStr">
        <is>
          <t>F COMPBELL(ZY245B)BROWN 34702</t>
        </is>
      </c>
      <c r="H1716" s="664" t="n">
        <v>1051</v>
      </c>
      <c r="I1716" s="665" t="n">
        <v>5.22</v>
      </c>
      <c r="K1716" t="inlineStr">
        <is>
          <t>P008302</t>
        </is>
      </c>
      <c r="L1716" s="663" t="e">
        <v>#REF!</v>
      </c>
    </row>
    <row r="1717">
      <c r="B1717" s="678" t="inlineStr">
        <is>
          <t>79827N</t>
        </is>
      </c>
      <c r="F1717" s="682" t="inlineStr">
        <is>
          <t>F DURAHIDEBICASTBLACK71800</t>
        </is>
      </c>
      <c r="G1717" s="662" t="n"/>
      <c r="H1717" s="664" t="n">
        <v>1035</v>
      </c>
      <c r="I1717" s="665" t="n">
        <v>2.74</v>
      </c>
      <c r="K1717" t="inlineStr">
        <is>
          <t>P0Z50072</t>
        </is>
      </c>
      <c r="L1717" s="663" t="e">
        <v>#REF!</v>
      </c>
    </row>
    <row r="1718">
      <c r="B1718" s="678" t="n">
        <v>111581</v>
      </c>
      <c r="F1718" s="675" t="inlineStr">
        <is>
          <t xml:space="preserve">F CRISS CROSSTOFFEE 28800        </t>
        </is>
      </c>
      <c r="H1718" s="664" t="n">
        <v>1002</v>
      </c>
      <c r="I1718" s="665" t="n">
        <v>5.41</v>
      </c>
      <c r="K1718" t="inlineStr">
        <is>
          <t>p006859</t>
        </is>
      </c>
      <c r="L1718" s="663" t="e">
        <v>#REF!</v>
      </c>
    </row>
    <row r="1719">
      <c r="B1719" s="678" t="n">
        <v>111656</v>
      </c>
      <c r="F1719" s="675" t="inlineStr">
        <is>
          <t>F MAJORCA STONE 87302</t>
        </is>
      </c>
      <c r="H1719" s="664" t="n">
        <v>1169</v>
      </c>
      <c r="I1719" s="665" t="n">
        <v>5.73</v>
      </c>
      <c r="K1719" t="inlineStr">
        <is>
          <t>P008800</t>
        </is>
      </c>
      <c r="L1719" s="663" t="e">
        <v>#REF!</v>
      </c>
    </row>
    <row r="1720">
      <c r="B1720" s="678" t="n">
        <v>3502052</v>
      </c>
      <c r="F1720" s="675" t="inlineStr">
        <is>
          <t>PP PLASTIC FOR 76922</t>
        </is>
      </c>
      <c r="H1720" s="664" t="n">
        <v>1172</v>
      </c>
      <c r="I1720" s="665" t="n">
        <v>1.7</v>
      </c>
      <c r="J1720" s="666" t="inlineStr">
        <is>
          <t>KG</t>
        </is>
      </c>
      <c r="K1720" t="inlineStr">
        <is>
          <t>P009155</t>
        </is>
      </c>
      <c r="L1720" s="663" t="e">
        <v>#REF!</v>
      </c>
    </row>
    <row r="1721">
      <c r="B1721" s="684" t="inlineStr">
        <is>
          <t>111171N</t>
        </is>
      </c>
      <c r="C1721" s="671" t="n"/>
      <c r="D1721" s="671" t="n"/>
      <c r="E1721" s="671" t="n"/>
      <c r="F1721" s="716" t="inlineStr">
        <is>
          <t xml:space="preserve"> F DURABLENDONYX 94200</t>
        </is>
      </c>
      <c r="G1721" s="664" t="n"/>
      <c r="H1721" s="664" t="n">
        <v>1035</v>
      </c>
      <c r="I1721" s="670" t="n">
        <v>3.97</v>
      </c>
      <c r="J1721" s="671" t="n"/>
      <c r="K1721" s="673" t="inlineStr">
        <is>
          <t>Pz50188</t>
        </is>
      </c>
      <c r="L1721" s="663" t="e">
        <v>#REF!</v>
      </c>
    </row>
    <row r="1722">
      <c r="B1722" s="684" t="inlineStr">
        <is>
          <t>111172N</t>
        </is>
      </c>
      <c r="C1722" s="671" t="n"/>
      <c r="D1722" s="671" t="n"/>
      <c r="E1722" s="671" t="n"/>
      <c r="F1722" s="671" t="inlineStr">
        <is>
          <t>F DURAHIDEONYX529/628/79200</t>
        </is>
      </c>
      <c r="G1722" s="664" t="n"/>
      <c r="H1722" s="664" t="n">
        <v>1035</v>
      </c>
      <c r="I1722" s="670" t="n">
        <v>2.72</v>
      </c>
      <c r="J1722" s="671" t="n"/>
      <c r="K1722" s="673" t="inlineStr">
        <is>
          <t>pz50188</t>
        </is>
      </c>
      <c r="L1722" s="663" t="e">
        <v>#REF!</v>
      </c>
    </row>
    <row r="1723">
      <c r="B1723" s="678" t="inlineStr">
        <is>
          <t>CG0100667</t>
        </is>
      </c>
      <c r="F1723" s="675" t="inlineStr">
        <is>
          <t>B188-71, 72 ACRYLIC POST FINAL</t>
        </is>
      </c>
      <c r="H1723" s="664" t="n">
        <v>1175</v>
      </c>
      <c r="I1723" s="665" t="n">
        <v>5</v>
      </c>
      <c r="J1723" s="666" t="inlineStr">
        <is>
          <t>EA</t>
        </is>
      </c>
      <c r="K1723" t="inlineStr">
        <is>
          <t>P009038</t>
        </is>
      </c>
      <c r="L1723" s="663" t="inlineStr">
        <is>
          <t>Qủa cầu thủy tinh</t>
        </is>
      </c>
    </row>
    <row r="1724">
      <c r="B1724" s="678" t="inlineStr">
        <is>
          <t xml:space="preserve">CH-HJ8841WV </t>
        </is>
      </c>
      <c r="F1724" s="675" t="inlineStr">
        <is>
          <t>BLACK SLURRY</t>
        </is>
      </c>
      <c r="H1724" s="664" t="n">
        <v>1057</v>
      </c>
      <c r="I1724" s="665" t="n">
        <v>7.22</v>
      </c>
      <c r="J1724" s="666" t="inlineStr">
        <is>
          <t>KG</t>
        </is>
      </c>
      <c r="L1724" s="663" t="e">
        <v>#REF!</v>
      </c>
    </row>
    <row r="1725">
      <c r="B1725" s="678" t="inlineStr">
        <is>
          <t>CH-PS9721-5WV</t>
        </is>
      </c>
      <c r="F1725" s="675" t="inlineStr">
        <is>
          <t>TOP COAT 5 SHEEN</t>
        </is>
      </c>
      <c r="H1725" s="664" t="n">
        <v>1057</v>
      </c>
      <c r="I1725" s="665" t="n">
        <v>6.48</v>
      </c>
      <c r="J1725" s="666" t="inlineStr">
        <is>
          <t>KG</t>
        </is>
      </c>
      <c r="K1725" t="inlineStr">
        <is>
          <t>P009374</t>
        </is>
      </c>
      <c r="L1725" s="663" t="e">
        <v>#REF!</v>
      </c>
    </row>
    <row r="1726">
      <c r="B1726" s="678" t="inlineStr">
        <is>
          <t>CH-PS9731-5WV</t>
        </is>
      </c>
      <c r="F1726" s="675" t="inlineStr">
        <is>
          <t>MAIN BASE CH-3</t>
        </is>
      </c>
      <c r="H1726" s="664" t="n">
        <v>1057</v>
      </c>
      <c r="I1726" s="665" t="n">
        <v>6.48</v>
      </c>
      <c r="J1726" s="666" t="inlineStr">
        <is>
          <t>KG</t>
        </is>
      </c>
      <c r="L1726" s="663" t="e">
        <v>#REF!</v>
      </c>
    </row>
    <row r="1727">
      <c r="B1727" s="678" t="inlineStr">
        <is>
          <t>CH-PS9731WV</t>
        </is>
      </c>
      <c r="F1727" s="675" t="inlineStr">
        <is>
          <t>WHITE CH-2</t>
        </is>
      </c>
      <c r="H1727" s="664" t="n">
        <v>1057</v>
      </c>
      <c r="I1727" s="665" t="n">
        <v>7.12</v>
      </c>
      <c r="J1727" s="666" t="inlineStr">
        <is>
          <t>KG</t>
        </is>
      </c>
      <c r="L1727" s="663" t="e">
        <v>#REF!</v>
      </c>
    </row>
    <row r="1728">
      <c r="B1728" s="678" t="inlineStr">
        <is>
          <t>CH-PS0347WV</t>
        </is>
      </c>
      <c r="F1728" s="675" t="inlineStr">
        <is>
          <t>MAIN BASE CH-1</t>
        </is>
      </c>
      <c r="H1728" s="664" t="n">
        <v>1057</v>
      </c>
      <c r="I1728" s="665" t="n">
        <v>7.29</v>
      </c>
      <c r="J1728" s="666" t="inlineStr">
        <is>
          <t>KG</t>
        </is>
      </c>
      <c r="L1728" s="663" t="e">
        <v>#REF!</v>
      </c>
    </row>
    <row r="1729">
      <c r="B1729" s="678" t="inlineStr">
        <is>
          <t>CH-PS9741-50WV</t>
        </is>
      </c>
      <c r="F1729" s="675" t="inlineStr">
        <is>
          <t>BLACK</t>
        </is>
      </c>
      <c r="H1729" s="664" t="n">
        <v>1057</v>
      </c>
      <c r="I1729" s="665" t="n">
        <v>7.29</v>
      </c>
      <c r="J1729" s="666" t="inlineStr">
        <is>
          <t>KG</t>
        </is>
      </c>
      <c r="L1729" s="663" t="e">
        <v>#REF!</v>
      </c>
    </row>
    <row r="1730">
      <c r="B1730" s="678" t="inlineStr">
        <is>
          <t>CH-PS9741-5WV</t>
        </is>
      </c>
      <c r="F1730" s="675" t="inlineStr">
        <is>
          <t>BLACK SEALER</t>
        </is>
      </c>
      <c r="H1730" s="664" t="n">
        <v>1057</v>
      </c>
      <c r="I1730" s="665" t="n">
        <v>7.29</v>
      </c>
      <c r="J1730" s="666" t="inlineStr">
        <is>
          <t>KG</t>
        </is>
      </c>
      <c r="L1730" s="663" t="e">
        <v>#REF!</v>
      </c>
    </row>
    <row r="1731">
      <c r="B1731" s="678" t="inlineStr">
        <is>
          <t>CH-PS9741WV</t>
        </is>
      </c>
      <c r="F1731" s="675" t="inlineStr">
        <is>
          <t>BLACK</t>
        </is>
      </c>
      <c r="H1731" s="664" t="n">
        <v>1057</v>
      </c>
      <c r="I1731" s="665" t="n">
        <v>7.29</v>
      </c>
      <c r="J1731" s="666" t="inlineStr">
        <is>
          <t>KG</t>
        </is>
      </c>
      <c r="L1731" s="663" t="e">
        <v>#REF!</v>
      </c>
    </row>
    <row r="1732">
      <c r="B1732" s="678" t="inlineStr">
        <is>
          <t>CH-HC0210WV</t>
        </is>
      </c>
      <c r="F1732" s="675" t="inlineStr">
        <is>
          <t>DUST PAINT</t>
        </is>
      </c>
      <c r="H1732" s="664" t="n">
        <v>1057</v>
      </c>
      <c r="I1732" s="665" t="n">
        <v>4.05</v>
      </c>
      <c r="J1732" s="666" t="inlineStr">
        <is>
          <t>KG</t>
        </is>
      </c>
      <c r="L1732" s="663" t="e">
        <v>#REF!</v>
      </c>
    </row>
    <row r="1733">
      <c r="B1733" s="678" t="inlineStr">
        <is>
          <t>CH-GL0516WV</t>
        </is>
      </c>
      <c r="F1733" s="675" t="inlineStr">
        <is>
          <t>GLAZE BASE CH-8</t>
        </is>
      </c>
      <c r="H1733" s="664" t="n">
        <v>1058</v>
      </c>
      <c r="I1733" s="665" t="n">
        <v>10.69</v>
      </c>
      <c r="J1733" s="666" t="inlineStr">
        <is>
          <t>KG</t>
        </is>
      </c>
      <c r="L1733" s="663" t="e">
        <v>#REF!</v>
      </c>
    </row>
    <row r="1734">
      <c r="B1734" s="678" t="inlineStr">
        <is>
          <t>CH-GL0906WV</t>
        </is>
      </c>
      <c r="F1734" s="675" t="inlineStr">
        <is>
          <t>RED-BROWN DYE FOR GLAZE</t>
        </is>
      </c>
      <c r="H1734" s="664" t="n">
        <v>1058</v>
      </c>
      <c r="I1734" s="665" t="n">
        <v>10.962</v>
      </c>
      <c r="J1734" s="666" t="inlineStr">
        <is>
          <t>KG</t>
        </is>
      </c>
      <c r="L1734" s="663" t="e">
        <v>#REF!</v>
      </c>
    </row>
    <row r="1735">
      <c r="B1735" s="678" t="inlineStr">
        <is>
          <t>CH-PS9751WV</t>
        </is>
      </c>
      <c r="F1735" s="675" t="inlineStr">
        <is>
          <t>YELLOW</t>
        </is>
      </c>
      <c r="H1735" s="664" t="n">
        <v>1058</v>
      </c>
      <c r="I1735" s="665" t="n">
        <v>7.12</v>
      </c>
      <c r="J1735" s="666" t="inlineStr">
        <is>
          <t>KG</t>
        </is>
      </c>
      <c r="L1735" s="663" t="e">
        <v>#REF!</v>
      </c>
    </row>
    <row r="1736">
      <c r="B1736" s="678" t="inlineStr">
        <is>
          <t>CH-PS9761WV</t>
        </is>
      </c>
      <c r="F1736" s="675" t="inlineStr">
        <is>
          <t>RED</t>
        </is>
      </c>
      <c r="H1736" s="664" t="n">
        <v>1058</v>
      </c>
      <c r="I1736" s="665" t="n">
        <v>7.29</v>
      </c>
      <c r="J1736" s="666" t="inlineStr">
        <is>
          <t>KG</t>
        </is>
      </c>
      <c r="L1736" s="663" t="e">
        <v>#REF!</v>
      </c>
    </row>
    <row r="1737">
      <c r="B1737" s="678" t="inlineStr">
        <is>
          <t xml:space="preserve">CH-JF0510WV </t>
        </is>
      </c>
      <c r="F1737" s="675" t="inlineStr">
        <is>
          <t>BLACK GOLD POWDER</t>
        </is>
      </c>
      <c r="H1737" s="664" t="n">
        <v>1121</v>
      </c>
      <c r="I1737" s="665" t="n">
        <v>29.95</v>
      </c>
      <c r="J1737" s="666" t="inlineStr">
        <is>
          <t>KG</t>
        </is>
      </c>
      <c r="L1737" s="663" t="e">
        <v>#REF!</v>
      </c>
    </row>
    <row r="1738">
      <c r="B1738" s="678" t="inlineStr">
        <is>
          <t>CH-JF0522WV</t>
        </is>
      </c>
      <c r="F1738" s="675" t="inlineStr">
        <is>
          <t>GOLD POWDER</t>
        </is>
      </c>
      <c r="H1738" s="664" t="n">
        <v>1121</v>
      </c>
      <c r="I1738" s="665" t="n">
        <v>29.95</v>
      </c>
      <c r="J1738" s="666" t="inlineStr">
        <is>
          <t>KG</t>
        </is>
      </c>
      <c r="L1738" s="663" t="e">
        <v>#REF!</v>
      </c>
    </row>
    <row r="1739">
      <c r="B1739" s="678" t="inlineStr">
        <is>
          <t>CH-SM2001-50WV</t>
        </is>
      </c>
      <c r="F1739" s="675" t="inlineStr">
        <is>
          <t>WATER BASED LACQUER</t>
        </is>
      </c>
      <c r="H1739" s="664" t="n">
        <v>1057</v>
      </c>
      <c r="I1739" s="665" t="n">
        <v>5.77</v>
      </c>
      <c r="J1739" s="666" t="inlineStr">
        <is>
          <t>KG</t>
        </is>
      </c>
      <c r="L1739" s="663" t="e">
        <v>#REF!</v>
      </c>
    </row>
    <row r="1740">
      <c r="B1740" s="678" t="inlineStr">
        <is>
          <t>CH-NM0226-20WV</t>
        </is>
      </c>
      <c r="F1740" s="675" t="inlineStr">
        <is>
          <t>20 SHEEN TOP COAT</t>
        </is>
      </c>
      <c r="H1740" s="664" t="n">
        <v>1057</v>
      </c>
      <c r="I1740" s="665" t="n">
        <v>4.582</v>
      </c>
      <c r="J1740" s="666" t="inlineStr">
        <is>
          <t>KG</t>
        </is>
      </c>
      <c r="L1740" s="663" t="e">
        <v>#REF!</v>
      </c>
    </row>
    <row r="1741">
      <c r="B1741" s="678" t="inlineStr">
        <is>
          <t>CH-NM0226-5WV</t>
        </is>
      </c>
      <c r="F1741" s="675" t="inlineStr">
        <is>
          <t>5 SHEEN  NC TOP COAT CH-2</t>
        </is>
      </c>
      <c r="H1741" s="664" t="n">
        <v>1057</v>
      </c>
      <c r="I1741" s="665" t="n">
        <v>4.58</v>
      </c>
      <c r="J1741" s="666" t="inlineStr">
        <is>
          <t>KG</t>
        </is>
      </c>
      <c r="L1741" s="663" t="e">
        <v>#REF!</v>
      </c>
    </row>
    <row r="1742">
      <c r="B1742" s="678" t="inlineStr">
        <is>
          <t>CH-ZZ0250WV</t>
        </is>
      </c>
      <c r="F1742" s="675" t="inlineStr">
        <is>
          <t>YELLOW PEARL POWDER</t>
        </is>
      </c>
      <c r="H1742" s="664" t="n">
        <v>1058</v>
      </c>
      <c r="I1742" s="665" t="n">
        <v>27.59</v>
      </c>
      <c r="J1742" s="666" t="inlineStr">
        <is>
          <t>KG</t>
        </is>
      </c>
      <c r="L1742" s="663" t="e">
        <v>#REF!</v>
      </c>
    </row>
    <row r="1743">
      <c r="B1743" s="678" t="inlineStr">
        <is>
          <t>CH-ZZ0210WV</t>
        </is>
      </c>
      <c r="F1743" s="675" t="inlineStr">
        <is>
          <t>WHITE PEARL POWDER</t>
        </is>
      </c>
      <c r="H1743" s="664" t="n">
        <v>1058</v>
      </c>
      <c r="I1743" s="665" t="n">
        <v>27.59</v>
      </c>
      <c r="J1743" s="666" t="inlineStr">
        <is>
          <t>KG</t>
        </is>
      </c>
      <c r="L1743" s="663" t="e">
        <v>#REF!</v>
      </c>
    </row>
    <row r="1744">
      <c r="B1744" s="678" t="inlineStr">
        <is>
          <t>CH-YF0967WV</t>
        </is>
      </c>
      <c r="F1744" s="675" t="inlineStr">
        <is>
          <t>SILVER POWDER</t>
        </is>
      </c>
      <c r="H1744" s="664" t="n">
        <v>1058</v>
      </c>
      <c r="I1744" s="665" t="n">
        <v>34</v>
      </c>
      <c r="J1744" s="666" t="inlineStr">
        <is>
          <t>KG</t>
        </is>
      </c>
      <c r="L1744" s="663" t="e">
        <v>#REF!</v>
      </c>
    </row>
    <row r="1745">
      <c r="B1745" s="678" t="inlineStr">
        <is>
          <t>CH-NS9271WV</t>
        </is>
      </c>
      <c r="F1745" s="675" t="inlineStr">
        <is>
          <t>BLUE TINT PASTE</t>
        </is>
      </c>
      <c r="H1745" s="664" t="n">
        <v>1058</v>
      </c>
      <c r="I1745" s="665" t="n">
        <v>4.679</v>
      </c>
      <c r="J1745" s="666" t="inlineStr">
        <is>
          <t>KG</t>
        </is>
      </c>
      <c r="L1745" s="663" t="e">
        <v>#REF!</v>
      </c>
    </row>
    <row r="1746">
      <c r="B1746" s="678" t="inlineStr">
        <is>
          <t>CH-JS0937WV</t>
        </is>
      </c>
      <c r="F1746" s="675" t="inlineStr">
        <is>
          <t>BLUE CH-1</t>
        </is>
      </c>
      <c r="H1746" s="664" t="n">
        <v>1058</v>
      </c>
      <c r="I1746" s="665" t="n">
        <v>29.95</v>
      </c>
      <c r="J1746" s="666" t="inlineStr">
        <is>
          <t>KG</t>
        </is>
      </c>
      <c r="L1746" s="663" t="e">
        <v>#REF!</v>
      </c>
    </row>
    <row r="1747">
      <c r="B1747" s="678" t="inlineStr">
        <is>
          <t>CH-PG3060WV</t>
        </is>
      </c>
      <c r="F1747" s="675" t="inlineStr">
        <is>
          <t>HARDNER</t>
        </is>
      </c>
      <c r="H1747" s="664" t="n">
        <v>1057</v>
      </c>
      <c r="I1747" s="665" t="n">
        <v>7.318</v>
      </c>
      <c r="J1747" s="666" t="inlineStr">
        <is>
          <t>KG</t>
        </is>
      </c>
      <c r="L1747" s="663" t="e">
        <v>#REF!</v>
      </c>
    </row>
    <row r="1748">
      <c r="B1748" s="678" t="inlineStr">
        <is>
          <t>CH-SD2001WV</t>
        </is>
      </c>
      <c r="F1748" s="675" t="inlineStr">
        <is>
          <t>VARNISH</t>
        </is>
      </c>
      <c r="H1748" s="664" t="n">
        <v>1059</v>
      </c>
      <c r="I1748" s="665" t="n">
        <v>5.5</v>
      </c>
      <c r="J1748" s="666" t="inlineStr">
        <is>
          <t>KG</t>
        </is>
      </c>
      <c r="L1748" s="663" t="e">
        <v>#REF!</v>
      </c>
    </row>
    <row r="1749">
      <c r="B1749" s="678" t="inlineStr">
        <is>
          <t>CH-PM0331-10WV</t>
        </is>
      </c>
      <c r="F1749" s="675" t="inlineStr">
        <is>
          <t>10 SHEEN PU BASE COAT</t>
        </is>
      </c>
      <c r="H1749" s="664" t="n">
        <v>1059</v>
      </c>
      <c r="I1749" s="665" t="n">
        <v>6.735</v>
      </c>
      <c r="J1749" s="666" t="inlineStr">
        <is>
          <t>KG</t>
        </is>
      </c>
      <c r="L1749" s="663" t="e">
        <v>#REF!</v>
      </c>
    </row>
    <row r="1750">
      <c r="B1750" s="678" t="inlineStr">
        <is>
          <t>CH-PS9701WV</t>
        </is>
      </c>
      <c r="F1750" s="675" t="inlineStr">
        <is>
          <t>THINNER CH-2</t>
        </is>
      </c>
      <c r="H1750" s="664" t="n">
        <v>1059</v>
      </c>
      <c r="I1750" s="665" t="n">
        <v>2.43</v>
      </c>
      <c r="J1750" s="666" t="inlineStr">
        <is>
          <t>KG</t>
        </is>
      </c>
      <c r="L1750" s="663" t="e">
        <v>#REF!</v>
      </c>
    </row>
    <row r="1751">
      <c r="B1751" s="678" t="inlineStr">
        <is>
          <t>CH-RH9001WV</t>
        </is>
      </c>
      <c r="F1751" s="675" t="inlineStr">
        <is>
          <t>THINNER CH-4</t>
        </is>
      </c>
      <c r="H1751" s="664" t="n">
        <v>1059</v>
      </c>
      <c r="I1751" s="665" t="n">
        <v>2.11</v>
      </c>
      <c r="J1751" s="666" t="inlineStr">
        <is>
          <t>KG</t>
        </is>
      </c>
      <c r="L1751" s="663" t="e">
        <v>#REF!</v>
      </c>
    </row>
    <row r="1752">
      <c r="B1752" s="678" t="inlineStr">
        <is>
          <t>CH-PS9721WV</t>
        </is>
      </c>
      <c r="F1752" s="675" t="inlineStr">
        <is>
          <t>LACQUER THINNER</t>
        </is>
      </c>
      <c r="H1752" s="664" t="n">
        <v>1059</v>
      </c>
      <c r="I1752" s="665" t="n">
        <v>5.91</v>
      </c>
      <c r="J1752" s="666" t="inlineStr">
        <is>
          <t>KG</t>
        </is>
      </c>
      <c r="L1752" s="663" t="e">
        <v>#REF!</v>
      </c>
    </row>
    <row r="1753">
      <c r="B1753" s="678" t="n">
        <v>200645</v>
      </c>
      <c r="F1753" s="675" t="inlineStr">
        <is>
          <t>38MM DIA. X6MM THICK SKID PAD</t>
        </is>
      </c>
      <c r="H1753" s="664" t="n">
        <v>1086</v>
      </c>
      <c r="I1753" s="665" t="n">
        <v>0.076</v>
      </c>
      <c r="J1753" s="666" t="inlineStr">
        <is>
          <t>EA</t>
        </is>
      </c>
      <c r="K1753" t="inlineStr">
        <is>
          <t>P009199</t>
        </is>
      </c>
      <c r="L1753" s="663" t="e">
        <v>#REF!</v>
      </c>
    </row>
    <row r="1754">
      <c r="B1754" s="659" t="inlineStr">
        <is>
          <t>CH-BC0499WV</t>
        </is>
      </c>
      <c r="C1754" s="660" t="n"/>
      <c r="D1754" s="661" t="n"/>
      <c r="E1754" s="661" t="n"/>
      <c r="F1754" s="661" t="inlineStr">
        <is>
          <t>499 NC BASE COAT</t>
        </is>
      </c>
      <c r="G1754" s="662" t="n"/>
      <c r="H1754" s="664" t="n">
        <v>1057</v>
      </c>
      <c r="I1754" s="665" t="n">
        <v>3.76</v>
      </c>
      <c r="J1754" s="666" t="inlineStr">
        <is>
          <t>KG</t>
        </is>
      </c>
      <c r="L1754" s="663" t="e">
        <v>#REF!</v>
      </c>
    </row>
    <row r="1755">
      <c r="B1755" s="678" t="inlineStr">
        <is>
          <t>CH-GL0499WV</t>
        </is>
      </c>
      <c r="F1755" s="675" t="inlineStr">
        <is>
          <t>GLAZE BASE CH-6</t>
        </is>
      </c>
      <c r="H1755" s="664" t="n">
        <v>1057</v>
      </c>
      <c r="I1755" s="665" t="n">
        <v>10.69</v>
      </c>
      <c r="J1755" s="666" t="inlineStr">
        <is>
          <t>KG</t>
        </is>
      </c>
      <c r="L1755" s="663" t="e">
        <v>#REF!</v>
      </c>
    </row>
    <row r="1756">
      <c r="B1756" s="678" t="inlineStr">
        <is>
          <t>CH-GL0754WV</t>
        </is>
      </c>
      <c r="F1756" s="675" t="inlineStr">
        <is>
          <t>GLAZE BASE CH-15</t>
        </is>
      </c>
      <c r="H1756" s="664" t="n">
        <v>1057</v>
      </c>
      <c r="I1756" s="665" t="n">
        <v>10.69</v>
      </c>
      <c r="J1756" s="666" t="inlineStr">
        <is>
          <t>KG</t>
        </is>
      </c>
      <c r="L1756" s="663" t="e">
        <v>#REF!</v>
      </c>
    </row>
    <row r="1757">
      <c r="B1757" s="678" t="inlineStr">
        <is>
          <t>CH-GL0802WV</t>
        </is>
      </c>
      <c r="F1757" s="675" t="inlineStr">
        <is>
          <t>TINT FOR GLAZE B346</t>
        </is>
      </c>
      <c r="H1757" s="664" t="n">
        <v>1057</v>
      </c>
      <c r="I1757" s="665" t="n">
        <v>10.69</v>
      </c>
      <c r="J1757" s="666" t="inlineStr">
        <is>
          <t>KG</t>
        </is>
      </c>
      <c r="L1757" s="663" t="e">
        <v>#REF!</v>
      </c>
    </row>
    <row r="1758">
      <c r="B1758" s="678" t="inlineStr">
        <is>
          <t>CH-BC0754WV</t>
        </is>
      </c>
      <c r="F1758" s="675" t="inlineStr">
        <is>
          <t>754 NC BASE COAT</t>
        </is>
      </c>
      <c r="H1758" s="664" t="n">
        <v>1057</v>
      </c>
      <c r="I1758" s="665" t="n">
        <v>3.76</v>
      </c>
      <c r="J1758" s="666" t="inlineStr">
        <is>
          <t>KG</t>
        </is>
      </c>
      <c r="L1758" s="663" t="e">
        <v>#REF!</v>
      </c>
    </row>
    <row r="1759">
      <c r="B1759" s="678" t="inlineStr">
        <is>
          <t>CH-NM0241-20WV</t>
        </is>
      </c>
      <c r="F1759" s="675" t="inlineStr">
        <is>
          <t>20 SHEEN NC TOP COAT</t>
        </is>
      </c>
      <c r="H1759" s="664" t="n">
        <v>1057</v>
      </c>
      <c r="I1759" s="665" t="n">
        <v>3.805</v>
      </c>
      <c r="J1759" s="666" t="inlineStr">
        <is>
          <t>KG</t>
        </is>
      </c>
      <c r="L1759" s="663" t="e">
        <v>#REF!</v>
      </c>
    </row>
    <row r="1760">
      <c r="B1760" s="659" t="inlineStr">
        <is>
          <t>CH-JF0552WV</t>
        </is>
      </c>
      <c r="C1760" s="661" t="inlineStr">
        <is>
          <t>2127A</t>
        </is>
      </c>
      <c r="D1760" s="661" t="inlineStr">
        <is>
          <t>CHUN HUA</t>
        </is>
      </c>
      <c r="E1760" s="661" t="inlineStr">
        <is>
          <t>RFMI</t>
        </is>
      </c>
      <c r="F1760" s="661" t="inlineStr">
        <is>
          <t>GOLD POWDER</t>
        </is>
      </c>
      <c r="G1760" s="662" t="inlineStr">
        <is>
          <t>I</t>
        </is>
      </c>
      <c r="H1760" s="664" t="n">
        <v>1121</v>
      </c>
      <c r="I1760" s="665" t="n">
        <v>29.952</v>
      </c>
      <c r="J1760" s="666" t="inlineStr">
        <is>
          <t>KG</t>
        </is>
      </c>
      <c r="K1760" t="inlineStr">
        <is>
          <t>P009228</t>
        </is>
      </c>
      <c r="L1760" s="663" t="e">
        <v>#REF!</v>
      </c>
    </row>
    <row r="1761">
      <c r="B1761" s="659" t="inlineStr">
        <is>
          <t>CH-PS0233WV</t>
        </is>
      </c>
      <c r="F1761" s="675" t="inlineStr">
        <is>
          <t>BASE COAT</t>
        </is>
      </c>
      <c r="H1761" s="664" t="n">
        <v>1057</v>
      </c>
      <c r="I1761" s="665" t="n">
        <v>7.29</v>
      </c>
      <c r="J1761" s="666" t="inlineStr">
        <is>
          <t>KG</t>
        </is>
      </c>
      <c r="K1761" t="inlineStr">
        <is>
          <t>P009228</t>
        </is>
      </c>
      <c r="L1761" s="663" t="e">
        <v>#REF!</v>
      </c>
    </row>
    <row r="1762">
      <c r="B1762" s="678" t="n">
        <v>111000</v>
      </c>
      <c r="F1762" s="675" t="inlineStr">
        <is>
          <t>F AVAMULTI 39700</t>
        </is>
      </c>
      <c r="G1762" s="707" t="n">
        <v>1002</v>
      </c>
      <c r="H1762" s="664" t="n">
        <v>1091</v>
      </c>
      <c r="I1762" s="665" t="n">
        <v>6.97</v>
      </c>
      <c r="K1762" t="inlineStr">
        <is>
          <t>PZ50245</t>
        </is>
      </c>
      <c r="L1762" s="663" t="e">
        <v>#REF!</v>
      </c>
      <c r="N1762" t="inlineStr">
        <is>
          <t>PZ50474</t>
        </is>
      </c>
      <c r="O1762" t="n">
        <v>1002</v>
      </c>
    </row>
    <row r="1763">
      <c r="B1763" s="659" t="inlineStr">
        <is>
          <t>110647HYD</t>
        </is>
      </c>
      <c r="C1763" s="661" t="inlineStr">
        <is>
          <t>2103A</t>
        </is>
      </c>
      <c r="D1763" s="661" t="inlineStr">
        <is>
          <t>HEXIN</t>
        </is>
      </c>
      <c r="E1763" s="661" t="inlineStr">
        <is>
          <t>RFRU</t>
        </is>
      </c>
      <c r="F1763" s="661" t="inlineStr">
        <is>
          <t>F VINYLBARK 91700/94202</t>
        </is>
      </c>
      <c r="G1763" s="662" t="inlineStr">
        <is>
          <t>I</t>
        </is>
      </c>
      <c r="H1763" s="664" t="n">
        <v>1035</v>
      </c>
      <c r="I1763" s="665" t="n">
        <v>3.4</v>
      </c>
      <c r="L1763" s="663" t="e">
        <v>#REF!</v>
      </c>
    </row>
    <row r="1764">
      <c r="B1764" s="659" t="inlineStr">
        <is>
          <t>180051HYD</t>
        </is>
      </c>
      <c r="C1764" s="661" t="inlineStr">
        <is>
          <t>2103A</t>
        </is>
      </c>
      <c r="D1764" s="661" t="inlineStr">
        <is>
          <t>HEXIN</t>
        </is>
      </c>
      <c r="E1764" s="661" t="inlineStr">
        <is>
          <t>RFRU</t>
        </is>
      </c>
      <c r="F1764" s="661" t="inlineStr">
        <is>
          <t>V DURABLENDBARK 91700/94202</t>
        </is>
      </c>
      <c r="G1764" s="662" t="inlineStr">
        <is>
          <t>I</t>
        </is>
      </c>
      <c r="H1764" s="664" t="n">
        <v>1035</v>
      </c>
      <c r="I1764" s="665" t="n">
        <v>4.65</v>
      </c>
      <c r="L1764" s="663" t="e">
        <v>#REF!</v>
      </c>
    </row>
    <row r="1765">
      <c r="B1765" s="659" t="inlineStr">
        <is>
          <t>49424N</t>
        </is>
      </c>
      <c r="C1765" s="661" t="inlineStr">
        <is>
          <t>2137A</t>
        </is>
      </c>
      <c r="D1765" s="661" t="inlineStr">
        <is>
          <t>SMART</t>
        </is>
      </c>
      <c r="E1765" s="661" t="inlineStr">
        <is>
          <t>RFRU</t>
        </is>
      </c>
      <c r="F1765" s="661" t="inlineStr">
        <is>
          <t>F DURAHIDEONYX529/62875800</t>
        </is>
      </c>
      <c r="G1765" s="662" t="inlineStr">
        <is>
          <t>D</t>
        </is>
      </c>
      <c r="H1765" s="664" t="n">
        <v>1006</v>
      </c>
      <c r="I1765" s="665" t="n">
        <v>2.74</v>
      </c>
      <c r="J1765" s="666" t="inlineStr">
        <is>
          <t>M</t>
        </is>
      </c>
      <c r="K1765" t="inlineStr">
        <is>
          <t>PZ50510</t>
        </is>
      </c>
      <c r="L1765" s="663" t="e">
        <v>#REF!</v>
      </c>
    </row>
    <row r="1766">
      <c r="B1766" s="659" t="inlineStr">
        <is>
          <t>180105N</t>
        </is>
      </c>
      <c r="C1766" s="661" t="inlineStr">
        <is>
          <t>2106A</t>
        </is>
      </c>
      <c r="D1766" s="661" t="inlineStr">
        <is>
          <t>OMNOVA</t>
        </is>
      </c>
      <c r="E1766" s="661" t="inlineStr">
        <is>
          <t>RFRU</t>
        </is>
      </c>
      <c r="F1766" s="661" t="inlineStr">
        <is>
          <t>V DURABLENDESPRESSO86001</t>
        </is>
      </c>
      <c r="G1766" s="662" t="inlineStr">
        <is>
          <t>I</t>
        </is>
      </c>
      <c r="H1766" s="664" t="n">
        <v>1035</v>
      </c>
      <c r="I1766" s="665" t="n">
        <v>4.08</v>
      </c>
      <c r="K1766" t="inlineStr">
        <is>
          <t>PZ50372</t>
        </is>
      </c>
      <c r="L1766" s="663" t="e">
        <v>#REF!</v>
      </c>
    </row>
    <row r="1767">
      <c r="B1767" s="659" t="inlineStr">
        <is>
          <t>180106N</t>
        </is>
      </c>
      <c r="C1767" s="661" t="inlineStr">
        <is>
          <t>2106A</t>
        </is>
      </c>
      <c r="D1767" s="661" t="inlineStr">
        <is>
          <t>OMNOVA</t>
        </is>
      </c>
      <c r="E1767" s="661" t="inlineStr">
        <is>
          <t>RFRU</t>
        </is>
      </c>
      <c r="F1767" s="661" t="inlineStr">
        <is>
          <t>V VINYLSADDLE86001</t>
        </is>
      </c>
      <c r="G1767" s="662" t="inlineStr">
        <is>
          <t>I</t>
        </is>
      </c>
      <c r="H1767" s="664" t="n">
        <v>1006</v>
      </c>
      <c r="I1767" s="665" t="n">
        <v>2.84</v>
      </c>
      <c r="K1767" t="inlineStr">
        <is>
          <t>PZ50372</t>
        </is>
      </c>
      <c r="L1767" s="663" t="e">
        <v>#REF!</v>
      </c>
    </row>
    <row r="1768">
      <c r="B1768" s="679" t="inlineStr">
        <is>
          <t>180209N</t>
        </is>
      </c>
      <c r="F1768" s="680" t="inlineStr">
        <is>
          <t>V MURIELDURABLENDESPRESSO15303</t>
        </is>
      </c>
      <c r="G1768" s="662" t="n"/>
      <c r="H1768" s="664" t="n">
        <v>1035</v>
      </c>
      <c r="I1768" s="665" t="n">
        <v>4.17</v>
      </c>
      <c r="K1768" t="inlineStr">
        <is>
          <t>PZ50372</t>
        </is>
      </c>
      <c r="L1768" s="663" t="e">
        <v>#REF!</v>
      </c>
    </row>
    <row r="1769">
      <c r="B1769" s="678" t="inlineStr">
        <is>
          <t>180236N</t>
        </is>
      </c>
      <c r="F1769" s="685" t="inlineStr">
        <is>
          <t xml:space="preserve"> V DURABLENDSALSA 20100</t>
        </is>
      </c>
      <c r="H1769" s="664" t="n">
        <v>1035</v>
      </c>
      <c r="I1769" s="665" t="n">
        <v>4.17</v>
      </c>
      <c r="K1769" t="inlineStr">
        <is>
          <t>PZ50372</t>
        </is>
      </c>
      <c r="L1769" s="663" t="e">
        <v>#REF!</v>
      </c>
    </row>
    <row r="1770">
      <c r="B1770" s="678" t="inlineStr">
        <is>
          <t>180237N</t>
        </is>
      </c>
      <c r="F1770" s="686" t="inlineStr">
        <is>
          <t>V VINYLSALSA 20100</t>
        </is>
      </c>
      <c r="H1770" s="664" t="n">
        <v>1035</v>
      </c>
      <c r="I1770" s="665" t="n">
        <v>2.94</v>
      </c>
      <c r="K1770" t="inlineStr">
        <is>
          <t>PZ50372</t>
        </is>
      </c>
      <c r="L1770" s="663" t="e">
        <v>#REF!</v>
      </c>
    </row>
    <row r="1771">
      <c r="B1771" s="678" t="inlineStr">
        <is>
          <t>180238N</t>
        </is>
      </c>
      <c r="F1771" s="685" t="inlineStr">
        <is>
          <t>V DURABLENDCHOCOLATE 20101</t>
        </is>
      </c>
      <c r="H1771" s="664" t="n">
        <v>1035</v>
      </c>
      <c r="I1771" s="665" t="n">
        <v>4.17</v>
      </c>
      <c r="K1771" t="inlineStr">
        <is>
          <t>PZ50372</t>
        </is>
      </c>
      <c r="L1771" s="663" t="e">
        <v>#REF!</v>
      </c>
    </row>
    <row r="1772">
      <c r="B1772" s="678" t="inlineStr">
        <is>
          <t>180239N</t>
        </is>
      </c>
      <c r="F1772" s="685" t="inlineStr">
        <is>
          <t>V VINYLCHOCOLATE 20101</t>
        </is>
      </c>
      <c r="H1772" s="664" t="n">
        <v>1035</v>
      </c>
      <c r="I1772" s="665" t="n">
        <v>2.94</v>
      </c>
      <c r="K1772" t="inlineStr">
        <is>
          <t>PZ50372</t>
        </is>
      </c>
      <c r="L1772" s="663" t="e">
        <v>#REF!</v>
      </c>
    </row>
    <row r="1773">
      <c r="B1773" s="684" t="inlineStr">
        <is>
          <t>180264N</t>
        </is>
      </c>
      <c r="F1773" s="699" t="inlineStr">
        <is>
          <t>F LINEBACDURABLEND BLACK 95202</t>
        </is>
      </c>
      <c r="H1773" s="664" t="n">
        <v>1035</v>
      </c>
      <c r="I1773" s="665" t="n">
        <v>4.21</v>
      </c>
      <c r="K1773" t="inlineStr">
        <is>
          <t>PZ50372</t>
        </is>
      </c>
      <c r="L1773" s="663" t="e">
        <v>#REF!</v>
      </c>
    </row>
    <row r="1774">
      <c r="B1774" s="678" t="inlineStr">
        <is>
          <t>180265N</t>
        </is>
      </c>
      <c r="C1774" s="693" t="n"/>
      <c r="F1774" s="693" t="inlineStr">
        <is>
          <t>V LINEBACKER PU 95202</t>
        </is>
      </c>
      <c r="H1774" s="664" t="n">
        <v>1035</v>
      </c>
      <c r="I1774" s="665" t="n">
        <v>2.96</v>
      </c>
      <c r="K1774" t="inlineStr">
        <is>
          <t>PZ50372</t>
        </is>
      </c>
      <c r="L1774" s="663" t="e">
        <v>#REF!</v>
      </c>
    </row>
    <row r="1775">
      <c r="B1775" s="678" t="inlineStr">
        <is>
          <t>91720PE</t>
        </is>
      </c>
      <c r="F1775" s="675" t="inlineStr">
        <is>
          <t>181 PE FRONT LEG</t>
        </is>
      </c>
      <c r="H1775" s="664" t="n">
        <v>1181</v>
      </c>
      <c r="I1775" s="665" t="n">
        <v>1.38</v>
      </c>
      <c r="J1775" s="666" t="inlineStr">
        <is>
          <t>EA</t>
        </is>
      </c>
      <c r="K1775" t="inlineStr">
        <is>
          <t>P009589</t>
        </is>
      </c>
      <c r="L1775" s="663" t="e">
        <v>#REF!</v>
      </c>
    </row>
    <row r="1776">
      <c r="B1776" s="678" t="inlineStr">
        <is>
          <t>92068PW</t>
        </is>
      </c>
      <c r="F1776" s="675" t="inlineStr">
        <is>
          <t>875 PLASTIC LEG WITH WOODCORE</t>
        </is>
      </c>
      <c r="H1776" s="664" t="n">
        <v>1181</v>
      </c>
      <c r="I1776" s="665" t="n">
        <v>1.48</v>
      </c>
      <c r="J1776" s="666" t="inlineStr">
        <is>
          <t>EA</t>
        </is>
      </c>
      <c r="K1776" t="inlineStr">
        <is>
          <t>P009589</t>
        </is>
      </c>
      <c r="L1776" s="663" t="e">
        <v>#REF!</v>
      </c>
    </row>
    <row r="1777">
      <c r="B1777" s="678" t="inlineStr">
        <is>
          <t>92579PE</t>
        </is>
      </c>
      <c r="F1777" s="675" t="inlineStr">
        <is>
          <t>162 (S1332) PE LEG</t>
        </is>
      </c>
      <c r="H1777" s="664" t="n">
        <v>1181</v>
      </c>
      <c r="I1777" s="665" t="n">
        <v>1.4</v>
      </c>
      <c r="J1777" s="666" t="inlineStr">
        <is>
          <t>EA</t>
        </is>
      </c>
      <c r="K1777" t="inlineStr">
        <is>
          <t>P009589</t>
        </is>
      </c>
      <c r="L1777" s="663" t="e">
        <v>#REF!</v>
      </c>
    </row>
    <row r="1778">
      <c r="B1778" s="678" t="inlineStr">
        <is>
          <t>990001PE</t>
        </is>
      </c>
      <c r="F1778" s="675" t="inlineStr">
        <is>
          <t>B188 PE LEG</t>
        </is>
      </c>
      <c r="H1778" s="664" t="n">
        <v>1181</v>
      </c>
      <c r="I1778" s="665" t="n">
        <v>1.08</v>
      </c>
      <c r="J1778" s="666" t="inlineStr">
        <is>
          <t>EA</t>
        </is>
      </c>
      <c r="K1778" t="inlineStr">
        <is>
          <t>P009589</t>
        </is>
      </c>
      <c r="L1778" s="663" t="e">
        <v>#REF!</v>
      </c>
    </row>
    <row r="1779">
      <c r="B1779" s="678" t="inlineStr">
        <is>
          <t>990006PW</t>
        </is>
      </c>
      <c r="F1779" s="675" t="inlineStr">
        <is>
          <t>B188 PW ROUND POST</t>
        </is>
      </c>
      <c r="H1779" s="664" t="n">
        <v>1181</v>
      </c>
      <c r="I1779" s="665" t="n">
        <v>1.53</v>
      </c>
      <c r="J1779" s="666" t="inlineStr">
        <is>
          <t>EA</t>
        </is>
      </c>
      <c r="K1779" t="inlineStr">
        <is>
          <t>P009589</t>
        </is>
      </c>
      <c r="L1779" s="663" t="e">
        <v>#REF!</v>
      </c>
    </row>
    <row r="1780" ht="28.5" customHeight="1">
      <c r="B1780" s="678" t="inlineStr">
        <is>
          <t>180212N</t>
        </is>
      </c>
      <c r="F1780" s="682" t="inlineStr">
        <is>
          <t>V PRIMEMATICDURABLENDCRIMSON17</t>
        </is>
      </c>
      <c r="G1780" s="662" t="n"/>
      <c r="H1780" s="664" t="n">
        <v>1101</v>
      </c>
      <c r="I1780" s="665" t="n">
        <v>4.03</v>
      </c>
      <c r="L1780" s="663" t="e">
        <v>#REF!</v>
      </c>
    </row>
    <row r="1781">
      <c r="B1781" s="659" t="inlineStr">
        <is>
          <t>180143HYD</t>
        </is>
      </c>
      <c r="C1781" s="661" t="inlineStr">
        <is>
          <t>2117A</t>
        </is>
      </c>
      <c r="D1781" s="661" t="inlineStr">
        <is>
          <t>FENGRUN</t>
        </is>
      </c>
      <c r="E1781" s="661" t="inlineStr">
        <is>
          <t>RFRU</t>
        </is>
      </c>
      <c r="F1781" s="661" t="inlineStr">
        <is>
          <t>V VINYLSEDONA73203</t>
        </is>
      </c>
      <c r="G1781" s="662" t="n"/>
      <c r="H1781" s="664" t="n">
        <v>1035</v>
      </c>
      <c r="I1781" s="665" t="n">
        <v>4.2</v>
      </c>
      <c r="K1781" t="inlineStr">
        <is>
          <t>PZ50489</t>
        </is>
      </c>
      <c r="L1781" s="663" t="e">
        <v>#REF!</v>
      </c>
    </row>
    <row r="1782">
      <c r="B1782" s="678" t="inlineStr">
        <is>
          <t>180262N</t>
        </is>
      </c>
      <c r="F1782" s="675" t="inlineStr">
        <is>
          <t>F TONTO (PU) CANYON(6932)90502</t>
        </is>
      </c>
      <c r="H1782" s="664" t="n">
        <v>1035</v>
      </c>
      <c r="I1782" s="665" t="n">
        <v>3.04</v>
      </c>
      <c r="K1782" t="inlineStr">
        <is>
          <t>PZ50551</t>
        </is>
      </c>
      <c r="L1782" s="663" t="e">
        <v>#REF!</v>
      </c>
    </row>
    <row r="1783">
      <c r="B1783" s="678" t="inlineStr">
        <is>
          <t>91601PW</t>
        </is>
      </c>
      <c r="F1783" s="675" t="inlineStr">
        <is>
          <t xml:space="preserve"> PW  LEG  91601</t>
        </is>
      </c>
      <c r="H1783" s="664" t="n">
        <v>1181</v>
      </c>
      <c r="I1783" s="665" t="n">
        <v>1.61</v>
      </c>
      <c r="J1783" s="666" t="inlineStr">
        <is>
          <t>EA</t>
        </is>
      </c>
      <c r="K1783" t="inlineStr">
        <is>
          <t>P009590</t>
        </is>
      </c>
      <c r="L1783" s="663" t="e">
        <v>#REF!</v>
      </c>
      <c r="M1783" t="inlineStr">
        <is>
          <t>[9:31:23 SA] Kim Anh- Customs Wanek : 73679 PRE-TIED STRINGS</t>
        </is>
      </c>
    </row>
    <row r="1784">
      <c r="B1784" s="678" t="inlineStr">
        <is>
          <t>92300PE</t>
        </is>
      </c>
      <c r="F1784" s="675" t="inlineStr">
        <is>
          <t>534  FRONT  PE  LEG</t>
        </is>
      </c>
      <c r="H1784" s="664" t="n">
        <v>1181</v>
      </c>
      <c r="I1784" s="665" t="n">
        <v>1.2</v>
      </c>
      <c r="J1784" s="666" t="inlineStr">
        <is>
          <t>EA</t>
        </is>
      </c>
      <c r="K1784" t="inlineStr">
        <is>
          <t>P009590</t>
        </is>
      </c>
      <c r="L1784" s="663" t="e">
        <v>#REF!</v>
      </c>
      <c r="M1784" t="inlineStr">
        <is>
          <t>74546 U-BUTTON 2.5INPRETIEDSTRING</t>
        </is>
      </c>
    </row>
    <row r="1785">
      <c r="B1785" s="678" t="inlineStr">
        <is>
          <t>92331PE</t>
        </is>
      </c>
      <c r="F1785" s="675" t="inlineStr">
        <is>
          <t xml:space="preserve"> 341  PE  LEG</t>
        </is>
      </c>
      <c r="H1785" s="664" t="n">
        <v>1181</v>
      </c>
      <c r="I1785" s="665" t="n">
        <v>1.73</v>
      </c>
      <c r="J1785" s="666" t="inlineStr">
        <is>
          <t>EA</t>
        </is>
      </c>
      <c r="K1785" t="inlineStr">
        <is>
          <t>P009590</t>
        </is>
      </c>
      <c r="L1785" s="663" t="e">
        <v>#REF!</v>
      </c>
      <c r="M1785" t="inlineStr">
        <is>
          <t>101081 BUTTON STRING 7" PRETIED</t>
        </is>
      </c>
    </row>
    <row r="1786">
      <c r="B1786" s="678" t="inlineStr">
        <is>
          <t>92331PW</t>
        </is>
      </c>
      <c r="F1786" s="675" t="inlineStr">
        <is>
          <t xml:space="preserve"> 341  PW  LEG</t>
        </is>
      </c>
      <c r="H1786" s="664" t="n">
        <v>1181</v>
      </c>
      <c r="I1786" s="665" t="n">
        <v>1.73</v>
      </c>
      <c r="J1786" s="666" t="inlineStr">
        <is>
          <t>EA</t>
        </is>
      </c>
      <c r="K1786" t="inlineStr">
        <is>
          <t>P009590</t>
        </is>
      </c>
      <c r="L1786" s="663" t="e">
        <v>#REF!</v>
      </c>
      <c r="M1786" t="inlineStr">
        <is>
          <t>[10:27:20 SA] Kim Anh- Customs Wanek : nên KM lưu ý dùm KA 3 mã trên nhé, nếu có nhập thì mình cần khai 1037 cho nó trùng</t>
        </is>
      </c>
    </row>
    <row r="1787">
      <c r="B1787" s="678" t="inlineStr">
        <is>
          <t>92462PE</t>
        </is>
      </c>
      <c r="F1787" s="675" t="inlineStr">
        <is>
          <t xml:space="preserve">  573  PE  LEG  KIT</t>
        </is>
      </c>
      <c r="H1787" s="664" t="n">
        <v>1181</v>
      </c>
      <c r="I1787" s="665" t="n">
        <v>1.67</v>
      </c>
      <c r="J1787" s="666" t="inlineStr">
        <is>
          <t>EA</t>
        </is>
      </c>
      <c r="K1787" t="inlineStr">
        <is>
          <t>P009590</t>
        </is>
      </c>
      <c r="L1787" s="663" t="e">
        <v>#REF!</v>
      </c>
      <c r="M1787" t="inlineStr">
        <is>
          <t>74546 U-BUTTON 2.5INPRETIEDSTRING 1037 Dây gân trang trí</t>
        </is>
      </c>
    </row>
    <row r="1788">
      <c r="B1788" s="678" t="n">
        <v>111764</v>
      </c>
      <c r="F1788" s="675" t="inlineStr">
        <is>
          <t>F 2 WH46-2</t>
        </is>
      </c>
      <c r="H1788" s="664" t="n">
        <v>1002</v>
      </c>
      <c r="I1788" s="665" t="n">
        <v>3.28</v>
      </c>
      <c r="K1788" t="inlineStr">
        <is>
          <t>pz50418</t>
        </is>
      </c>
      <c r="L1788" s="663" t="e">
        <v>#REF!</v>
      </c>
      <c r="M1788" t="inlineStr">
        <is>
          <t>101081 BUTTON STRING 7" PRETIED 1037 Day gan trang tri</t>
        </is>
      </c>
    </row>
    <row r="1789">
      <c r="B1789" s="678" t="inlineStr">
        <is>
          <t>91552PW</t>
        </is>
      </c>
      <c r="F1789" s="675" t="inlineStr">
        <is>
          <t>326 PLASTIC LEG WITH WD INSERT</t>
        </is>
      </c>
      <c r="H1789" s="664" t="n">
        <v>1181</v>
      </c>
      <c r="I1789" s="665" t="n">
        <v>1.65</v>
      </c>
      <c r="J1789" s="666" t="inlineStr">
        <is>
          <t>EA</t>
        </is>
      </c>
      <c r="K1789" t="inlineStr">
        <is>
          <t>P009591</t>
        </is>
      </c>
      <c r="L1789" s="663" t="e">
        <v>#REF!</v>
      </c>
    </row>
    <row r="1790">
      <c r="B1790" s="678" t="inlineStr">
        <is>
          <t>91847PW</t>
        </is>
      </c>
      <c r="F1790" s="675" t="inlineStr">
        <is>
          <t>154 PW  Leg kit</t>
        </is>
      </c>
      <c r="H1790" s="664" t="n">
        <v>1181</v>
      </c>
      <c r="I1790" s="665" t="n">
        <v>1.11</v>
      </c>
      <c r="J1790" s="666" t="inlineStr">
        <is>
          <t>EA</t>
        </is>
      </c>
      <c r="K1790" t="inlineStr">
        <is>
          <t>P009591</t>
        </is>
      </c>
      <c r="L1790" s="663" t="e">
        <v>#REF!</v>
      </c>
    </row>
    <row r="1791">
      <c r="B1791" s="678" t="inlineStr">
        <is>
          <t>92300PW</t>
        </is>
      </c>
      <c r="F1791" s="675" t="inlineStr">
        <is>
          <t>534 Front PE leg</t>
        </is>
      </c>
      <c r="H1791" s="664" t="n">
        <v>1181</v>
      </c>
      <c r="I1791" s="665" t="n">
        <v>1.2</v>
      </c>
      <c r="J1791" s="666" t="inlineStr">
        <is>
          <t>EA</t>
        </is>
      </c>
      <c r="K1791" t="inlineStr">
        <is>
          <t>P009591</t>
        </is>
      </c>
      <c r="L1791" s="663" t="e">
        <v>#REF!</v>
      </c>
    </row>
    <row r="1792">
      <c r="B1792" s="678" t="inlineStr">
        <is>
          <t>92331PW</t>
        </is>
      </c>
      <c r="F1792" s="675" t="inlineStr">
        <is>
          <t>341 PW Leg</t>
        </is>
      </c>
      <c r="H1792" s="664" t="n">
        <v>1181</v>
      </c>
      <c r="I1792" s="665" t="n">
        <v>1.73</v>
      </c>
      <c r="J1792" s="666" t="inlineStr">
        <is>
          <t>EA</t>
        </is>
      </c>
      <c r="K1792" t="inlineStr">
        <is>
          <t>P009591</t>
        </is>
      </c>
      <c r="L1792" s="663" t="e">
        <v>#REF!</v>
      </c>
    </row>
    <row r="1793">
      <c r="B1793" s="678" t="inlineStr">
        <is>
          <t>990001PW</t>
        </is>
      </c>
      <c r="F1793" s="675" t="inlineStr">
        <is>
          <t>B188 PE LEG</t>
        </is>
      </c>
      <c r="H1793" s="664" t="n">
        <v>1181</v>
      </c>
      <c r="I1793" s="665" t="n">
        <v>1.08</v>
      </c>
      <c r="J1793" s="666" t="inlineStr">
        <is>
          <t>EA</t>
        </is>
      </c>
      <c r="K1793" t="inlineStr">
        <is>
          <t>P009591</t>
        </is>
      </c>
      <c r="L1793" s="663" t="e">
        <v>#REF!</v>
      </c>
    </row>
    <row r="1794">
      <c r="B1794" s="679" t="inlineStr">
        <is>
          <t>180210N</t>
        </is>
      </c>
      <c r="F1794" s="680" t="inlineStr">
        <is>
          <t>V PUESPRESSO 15303</t>
        </is>
      </c>
      <c r="G1794" s="662" t="n"/>
      <c r="H1794" s="664" t="n">
        <v>1035</v>
      </c>
      <c r="I1794" s="665" t="n">
        <v>2.94</v>
      </c>
      <c r="K1794" t="inlineStr">
        <is>
          <t>PZ50710</t>
        </is>
      </c>
      <c r="L1794" s="663" t="inlineStr">
        <is>
          <t>Giả da PU</t>
        </is>
      </c>
    </row>
    <row r="1795">
      <c r="B1795" s="678" t="inlineStr">
        <is>
          <t>92406PE</t>
        </is>
      </c>
      <c r="F1795" s="675" t="inlineStr">
        <is>
          <t>843 PE LEG</t>
        </is>
      </c>
      <c r="H1795" s="664" t="n">
        <v>1181</v>
      </c>
      <c r="I1795" s="665" t="n">
        <v>1.49</v>
      </c>
      <c r="J1795" s="666" t="inlineStr">
        <is>
          <t>EA</t>
        </is>
      </c>
      <c r="K1795" t="inlineStr">
        <is>
          <t>PZ50747</t>
        </is>
      </c>
      <c r="L1795" s="663" t="inlineStr">
        <is>
          <t>Chân đế bằng nhựa</t>
        </is>
      </c>
    </row>
    <row r="1796">
      <c r="B1796" s="659" t="inlineStr">
        <is>
          <t>180145N</t>
        </is>
      </c>
      <c r="C1796" s="661" t="inlineStr">
        <is>
          <t>2118A</t>
        </is>
      </c>
      <c r="D1796" s="661" t="inlineStr">
        <is>
          <t>LONGXIANG</t>
        </is>
      </c>
      <c r="E1796" s="661" t="inlineStr">
        <is>
          <t>RFRU</t>
        </is>
      </c>
      <c r="F1796" s="661" t="inlineStr">
        <is>
          <t>V VINYLBURGUNDY73204</t>
        </is>
      </c>
      <c r="G1796" s="662" t="inlineStr">
        <is>
          <t>I</t>
        </is>
      </c>
      <c r="H1796" s="664" t="n">
        <v>1035</v>
      </c>
      <c r="I1796" s="665" t="n">
        <v>3.21</v>
      </c>
      <c r="K1796" t="inlineStr">
        <is>
          <t>PZ50771</t>
        </is>
      </c>
      <c r="L1796" s="663" t="inlineStr">
        <is>
          <t>Giả da PU</t>
        </is>
      </c>
    </row>
    <row r="1797">
      <c r="B1797" s="659" t="n">
        <v>78588</v>
      </c>
      <c r="F1797" s="700" t="inlineStr">
        <is>
          <t>M7X45 WAHSER HEAD SEFLT</t>
        </is>
      </c>
      <c r="H1797" s="664" t="n">
        <v>1050</v>
      </c>
      <c r="I1797" s="665" t="n">
        <v>0.0308</v>
      </c>
      <c r="J1797" s="666" t="inlineStr">
        <is>
          <t>EA</t>
        </is>
      </c>
      <c r="K1797" t="inlineStr">
        <is>
          <t>PZ50697</t>
        </is>
      </c>
      <c r="L1797" s="663" t="inlineStr">
        <is>
          <t>Ốc vít</t>
        </is>
      </c>
    </row>
    <row r="1798">
      <c r="B1798" s="678" t="inlineStr">
        <is>
          <t>180090N</t>
        </is>
      </c>
      <c r="F1798" s="675" t="inlineStr">
        <is>
          <t>V VINYLCHOCOLATE 42401</t>
        </is>
      </c>
      <c r="H1798" s="664" t="n">
        <v>1035</v>
      </c>
      <c r="I1798" s="665" t="n">
        <v>2.74</v>
      </c>
      <c r="K1798" t="inlineStr">
        <is>
          <t>PZ51057</t>
        </is>
      </c>
      <c r="L1798" s="663" t="inlineStr">
        <is>
          <t>Giả da PU</t>
        </is>
      </c>
    </row>
    <row r="1799">
      <c r="B1799" s="678" t="n">
        <v>200197</v>
      </c>
      <c r="F1799" s="675" t="inlineStr">
        <is>
          <t>5/16"-18X1.7IN THREADEDROD</t>
        </is>
      </c>
      <c r="K1799" t="inlineStr">
        <is>
          <t>PZ51300</t>
        </is>
      </c>
      <c r="L1799" s="663" t="inlineStr">
        <is>
          <t>KD</t>
        </is>
      </c>
    </row>
    <row r="1800">
      <c r="B1800" s="678" t="n">
        <v>200198</v>
      </c>
      <c r="F1800" s="675" t="inlineStr">
        <is>
          <t>1/4"-20X1.6IN THREADED ROD</t>
        </is>
      </c>
      <c r="K1800" t="inlineStr">
        <is>
          <t>PZ51300</t>
        </is>
      </c>
      <c r="L1800" s="663" t="inlineStr">
        <is>
          <t>KD</t>
        </is>
      </c>
    </row>
    <row r="1801">
      <c r="B1801" s="678" t="inlineStr">
        <is>
          <t>92579PW</t>
        </is>
      </c>
      <c r="F1801" s="675" t="inlineStr">
        <is>
          <t>162 (81332) PE LEG</t>
        </is>
      </c>
      <c r="H1801" s="664" t="n">
        <v>1181</v>
      </c>
      <c r="I1801" s="665" t="n">
        <v>1.4</v>
      </c>
      <c r="J1801" s="666" t="inlineStr">
        <is>
          <t>EA</t>
        </is>
      </c>
      <c r="K1801" t="inlineStr">
        <is>
          <t>PZ51061</t>
        </is>
      </c>
      <c r="L1801" s="663" t="e">
        <v>#REF!</v>
      </c>
    </row>
    <row r="1802">
      <c r="B1802" s="678" t="inlineStr">
        <is>
          <t>02364SW</t>
        </is>
      </c>
      <c r="F1802" s="700" t="inlineStr">
        <is>
          <t>B188-7X HDBD SOLIDWOOD L</t>
        </is>
      </c>
      <c r="I1802" s="665" t="n">
        <v>4.08</v>
      </c>
      <c r="J1802" s="666" t="inlineStr">
        <is>
          <t>EA</t>
        </is>
      </c>
      <c r="K1802" s="717" t="inlineStr">
        <is>
          <t>PZ51181</t>
        </is>
      </c>
      <c r="L1802" s="663" t="inlineStr">
        <is>
          <t>KD</t>
        </is>
      </c>
    </row>
    <row r="1803">
      <c r="B1803" s="678" t="inlineStr">
        <is>
          <t>02383SW</t>
        </is>
      </c>
      <c r="F1803" s="700" t="inlineStr">
        <is>
          <t>B188-7X FTBD SOLIDWOOD L</t>
        </is>
      </c>
      <c r="I1803" s="665" t="n">
        <v>2.91</v>
      </c>
      <c r="J1803" s="666" t="inlineStr">
        <is>
          <t>EA</t>
        </is>
      </c>
      <c r="K1803" s="717" t="inlineStr">
        <is>
          <t>PZ51181</t>
        </is>
      </c>
      <c r="L1803" s="663" t="inlineStr">
        <is>
          <t>KD</t>
        </is>
      </c>
    </row>
    <row r="1804">
      <c r="B1804" s="678" t="inlineStr">
        <is>
          <t>02385SW</t>
        </is>
      </c>
      <c r="F1804" s="700" t="inlineStr">
        <is>
          <t>B188-7X FTBD SOLIDWOOD R</t>
        </is>
      </c>
      <c r="I1804" s="665" t="n">
        <v>2.89</v>
      </c>
      <c r="J1804" s="666" t="inlineStr">
        <is>
          <t>EA</t>
        </is>
      </c>
      <c r="K1804" s="717" t="inlineStr">
        <is>
          <t>PZ51181</t>
        </is>
      </c>
      <c r="L1804" s="663" t="inlineStr">
        <is>
          <t>KD</t>
        </is>
      </c>
    </row>
    <row r="1805">
      <c r="B1805" s="678" t="n">
        <v>140180</v>
      </c>
      <c r="F1805" s="675" t="inlineStr">
        <is>
          <t>L EXHILARATIONCHOCOLATW 42401</t>
        </is>
      </c>
      <c r="H1805" s="664" t="n">
        <v>1007</v>
      </c>
      <c r="I1805" s="665" t="n">
        <v>1.95</v>
      </c>
      <c r="J1805" s="666" t="inlineStr">
        <is>
          <t>M2</t>
        </is>
      </c>
      <c r="K1805" s="718" t="inlineStr">
        <is>
          <t>P009836</t>
        </is>
      </c>
    </row>
    <row r="1806">
      <c r="B1806" s="678" t="inlineStr">
        <is>
          <t>111729PL</t>
        </is>
      </c>
      <c r="F1806" s="675" t="inlineStr">
        <is>
          <t xml:space="preserve"> F JAZZY GRANITE 47200</t>
        </is>
      </c>
      <c r="H1806" s="664" t="n">
        <v>1002</v>
      </c>
      <c r="I1806" s="665" t="n">
        <v>6.35</v>
      </c>
      <c r="K1806" s="718" t="inlineStr">
        <is>
          <t>PZ51531</t>
        </is>
      </c>
    </row>
    <row r="1807">
      <c r="B1807" s="678" t="n">
        <v>111713</v>
      </c>
      <c r="F1807" s="675" t="inlineStr">
        <is>
          <t>F MAIER(PN560L)WALNUT 45201</t>
        </is>
      </c>
      <c r="H1807" s="664" t="n">
        <v>1110</v>
      </c>
      <c r="I1807" s="665" t="n">
        <v>2.67</v>
      </c>
      <c r="K1807" s="718" t="inlineStr">
        <is>
          <t>pz51514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16" customWidth="1" min="1" max="1"/>
    <col width="31.75" customWidth="1" min="2" max="2"/>
    <col width="8.5" customWidth="1" min="3" max="3"/>
    <col width="17.125" customWidth="1" min="4" max="4"/>
    <col width="12.25" customWidth="1" min="5" max="5"/>
    <col hidden="1" width="5.75" customWidth="1" min="6" max="6"/>
    <col width="20.5" customWidth="1" min="7" max="7"/>
    <col width="9" customWidth="1" min="8" max="8"/>
  </cols>
  <sheetData>
    <row r="1" ht="25.5" customHeight="1">
      <c r="B1" s="719" t="inlineStr">
        <is>
          <t>WANEK FURNITURE CO., LTD</t>
        </is>
      </c>
      <c r="E1" s="720" t="n"/>
      <c r="F1" s="720" t="n"/>
      <c r="G1" s="720" t="n"/>
    </row>
    <row r="2" ht="12.6" customHeight="1">
      <c r="B2" s="721" t="inlineStr">
        <is>
          <t>Tan Long Hamlet, Tan Hiep Ward, Tan Uyen District, Binh Duong Province, VN</t>
        </is>
      </c>
      <c r="F2" s="722" t="n"/>
      <c r="G2" s="722" t="n"/>
    </row>
    <row r="3" ht="12.75" customHeight="1">
      <c r="B3" s="723" t="inlineStr">
        <is>
          <t xml:space="preserve">Tel: +84 650.3655200  </t>
        </is>
      </c>
      <c r="E3" s="722" t="n"/>
      <c r="F3" s="722" t="n"/>
      <c r="G3" s="722" t="n"/>
    </row>
    <row r="4" ht="12.75" customHeight="1">
      <c r="B4" s="723" t="inlineStr">
        <is>
          <t>Fax: +84  650.3655192</t>
        </is>
      </c>
      <c r="E4" s="722" t="n"/>
      <c r="F4" s="722" t="n"/>
      <c r="G4" s="722" t="n"/>
    </row>
    <row r="5" ht="12.75" customHeight="1">
      <c r="B5" s="722" t="inlineStr">
        <is>
          <t>VAT CODE: 3700937241</t>
        </is>
      </c>
      <c r="D5" s="723" t="n"/>
      <c r="E5" s="723" t="n"/>
      <c r="F5" s="723" t="n"/>
      <c r="G5" s="723" t="n"/>
    </row>
    <row r="6" ht="2.25" customHeight="1">
      <c r="B6" s="724" t="n"/>
    </row>
    <row r="7" ht="24" customHeight="1">
      <c r="B7" s="725" t="inlineStr">
        <is>
          <t>PURCHASE ORDER ( RAW  MATERIAL)</t>
        </is>
      </c>
    </row>
    <row r="8" ht="6" customHeight="1"/>
    <row r="9" ht="15.75" customHeight="1">
      <c r="A9" s="726" t="inlineStr">
        <is>
          <t>VENDOR:</t>
        </is>
      </c>
      <c r="B9" s="727">
        <f>+#REF!</f>
        <v/>
      </c>
      <c r="C9" s="728" t="inlineStr">
        <is>
          <t>PO No:</t>
        </is>
      </c>
      <c r="D9" s="729">
        <f>+#REF!</f>
        <v/>
      </c>
      <c r="E9" s="729" t="n"/>
      <c r="F9" s="730" t="n"/>
      <c r="G9" s="731" t="n"/>
    </row>
    <row r="10" ht="13.5" customHeight="1">
      <c r="A10" s="732" t="inlineStr">
        <is>
          <t>ADDRESS:</t>
        </is>
      </c>
      <c r="B10" s="733">
        <f>+#REF!</f>
        <v/>
      </c>
      <c r="C10" s="734" t="inlineStr">
        <is>
          <t>DATE:</t>
        </is>
      </c>
      <c r="D10" s="735" t="n">
        <v>41387</v>
      </c>
      <c r="G10" s="736" t="n"/>
    </row>
    <row r="11" ht="13.5" customHeight="1">
      <c r="A11" s="734" t="n"/>
      <c r="C11" s="734" t="inlineStr">
        <is>
          <t>BUYER:</t>
        </is>
      </c>
      <c r="D11" s="722" t="inlineStr">
        <is>
          <t>JANE VO</t>
        </is>
      </c>
      <c r="G11" s="736" t="n"/>
    </row>
    <row r="12" ht="13.5" customHeight="1">
      <c r="A12" s="732" t="inlineStr">
        <is>
          <t>CONTACT PERSON :</t>
        </is>
      </c>
      <c r="B12" s="723" t="inlineStr">
        <is>
          <t>JACK</t>
        </is>
      </c>
      <c r="C12" s="734" t="inlineStr">
        <is>
          <t>TEL:</t>
        </is>
      </c>
      <c r="D12" s="722" t="inlineStr">
        <is>
          <t>0650 3655200 (7036)</t>
        </is>
      </c>
      <c r="G12" s="736" t="n"/>
    </row>
    <row r="13" ht="13.5" customHeight="1">
      <c r="A13" s="734" t="inlineStr">
        <is>
          <t>TEL</t>
        </is>
      </c>
      <c r="B13" s="723" t="inlineStr">
        <is>
          <t>0571 8298 8710</t>
        </is>
      </c>
      <c r="C13" s="734" t="inlineStr">
        <is>
          <t>FAX:</t>
        </is>
      </c>
      <c r="D13" s="722" t="inlineStr">
        <is>
          <t>0650 3655200 (7036)</t>
        </is>
      </c>
      <c r="G13" s="736" t="n"/>
    </row>
    <row r="14" ht="13.5" customHeight="1">
      <c r="A14" s="737" t="inlineStr">
        <is>
          <t>FAX</t>
        </is>
      </c>
      <c r="B14" s="738" t="inlineStr">
        <is>
          <t>0571 8217 1016</t>
        </is>
      </c>
      <c r="C14" s="734" t="n"/>
      <c r="D14" s="723" t="n"/>
      <c r="G14" s="736" t="n"/>
    </row>
    <row r="15" ht="14.25" customHeight="1">
      <c r="A15" s="726" t="inlineStr">
        <is>
          <t>Ship to:</t>
        </is>
      </c>
      <c r="B15" s="731" t="inlineStr">
        <is>
          <t>Wanek Furniture Co., Ltd.</t>
        </is>
      </c>
      <c r="C15" s="739" t="inlineStr">
        <is>
          <t xml:space="preserve">SPECIAL INSTRUCTIONS:  Port of loading : SHANGHAI </t>
        </is>
      </c>
      <c r="D15" s="730" t="n"/>
      <c r="E15" s="730" t="n"/>
      <c r="F15" s="730" t="n"/>
      <c r="G15" s="731" t="n"/>
    </row>
    <row r="16" ht="14.25" customHeight="1">
      <c r="A16" s="734" t="n"/>
      <c r="B16" s="740" t="inlineStr">
        <is>
          <t>Tan Long Hamlet, Tan Hiep Ward, Tan Uyen District</t>
        </is>
      </c>
      <c r="C16" s="741" t="inlineStr">
        <is>
          <t>Port of destination: Ho Chi Minh Port, Vietnam</t>
        </is>
      </c>
      <c r="G16" s="736" t="n"/>
    </row>
    <row r="17" ht="12.75" customHeight="1">
      <c r="A17" s="734" t="n"/>
      <c r="B17" s="740" t="inlineStr">
        <is>
          <t>Binh Duong Province, Vietnam</t>
        </is>
      </c>
      <c r="C17" s="734" t="inlineStr">
        <is>
          <t>Required documents: Invoice, Packing list, B/L, C/O</t>
        </is>
      </c>
      <c r="G17" s="736" t="n"/>
    </row>
    <row r="18" ht="12.75" customHeight="1">
      <c r="A18" s="737" t="n"/>
      <c r="B18" s="742" t="n"/>
      <c r="C18" s="737" t="inlineStr">
        <is>
          <t>Origin : CHINA</t>
        </is>
      </c>
      <c r="D18" s="743" t="n"/>
      <c r="E18" s="743" t="n"/>
      <c r="F18" s="743" t="n"/>
      <c r="G18" s="742" t="n"/>
    </row>
    <row r="19" ht="15" customHeight="1">
      <c r="A19" s="744" t="inlineStr">
        <is>
          <t>SHIPPING TERMS</t>
        </is>
      </c>
      <c r="B19" s="745" t="n"/>
      <c r="C19" s="746" t="inlineStr">
        <is>
          <t>DELIVERY INSTRUCTIONS</t>
        </is>
      </c>
      <c r="D19" s="160" t="n"/>
      <c r="E19" s="739" t="inlineStr">
        <is>
          <t>PAYMENT TERMS</t>
        </is>
      </c>
      <c r="F19" s="747" t="n"/>
      <c r="G19" s="748" t="n"/>
    </row>
    <row r="20" ht="15" customHeight="1">
      <c r="A20" s="749" t="inlineStr">
        <is>
          <t xml:space="preserve">   FOB SHANGHAI </t>
        </is>
      </c>
      <c r="B20" s="111" t="n"/>
      <c r="C20" s="750" t="n"/>
      <c r="D20" s="735" t="n">
        <v>41416</v>
      </c>
      <c r="E20" s="751" t="inlineStr">
        <is>
          <t>B45 T/T 45 days B/L days</t>
        </is>
      </c>
      <c r="G20" s="111" t="n"/>
    </row>
    <row r="21" ht="21.75" customHeight="1">
      <c r="A21" s="749" t="inlineStr">
        <is>
          <t xml:space="preserve">   INCOTERMS 2000</t>
        </is>
      </c>
      <c r="B21" s="111" t="n"/>
      <c r="C21" s="752" t="inlineStr">
        <is>
          <t>To be delivered on              (YYY/MM/DD)
or as postponed by noticed from purchaser.</t>
        </is>
      </c>
      <c r="D21" s="111" t="n"/>
      <c r="E21" s="753" t="inlineStr">
        <is>
          <t>STANDARD CHARTERED BANK (VIETNAM) LTD-HCMC BRANCH</t>
        </is>
      </c>
      <c r="G21" s="111" t="n"/>
    </row>
    <row r="22" ht="12.75" customHeight="1">
      <c r="A22" s="754" t="n"/>
      <c r="B22" s="745" t="n"/>
      <c r="C22" s="164" t="n"/>
      <c r="D22" s="111" t="n"/>
      <c r="E22" s="755" t="inlineStr">
        <is>
          <t>ADD: G11-SAIGON TRADE CENTER,  DIST 1, HCM, VN</t>
        </is>
      </c>
      <c r="G22" s="111" t="n"/>
    </row>
    <row r="23" ht="17.25" customHeight="1">
      <c r="A23" s="756" t="n"/>
      <c r="B23" s="757" t="n"/>
      <c r="C23" s="136" t="n"/>
      <c r="D23" s="117" t="n"/>
      <c r="E23" s="758" t="inlineStr">
        <is>
          <t>ACC NO: 99102870712</t>
        </is>
      </c>
      <c r="F23" s="116" t="n"/>
      <c r="G23" s="117" t="n"/>
    </row>
    <row r="24" ht="25.5" customHeight="1">
      <c r="A24" s="759" t="inlineStr">
        <is>
          <t>ITEM No.</t>
        </is>
      </c>
      <c r="B24" s="760" t="inlineStr">
        <is>
          <t>DESCRIPTION AND INSTRUCTION</t>
        </is>
      </c>
      <c r="C24" s="759" t="inlineStr">
        <is>
          <t>UNIT</t>
        </is>
      </c>
      <c r="D24" s="760" t="inlineStr">
        <is>
          <t>QUANTITY</t>
        </is>
      </c>
      <c r="E24" s="759" t="inlineStr">
        <is>
          <t>UNIT PRICE
(USD)</t>
        </is>
      </c>
      <c r="F24" s="759" t="inlineStr">
        <is>
          <t>AMOUNT
(USD)</t>
        </is>
      </c>
      <c r="G24" s="258" t="n"/>
    </row>
    <row r="25" ht="15.75" customHeight="1">
      <c r="A25" s="761">
        <f>+INVOICE!B25</f>
        <v/>
      </c>
      <c r="B25" s="762">
        <f>+INVOICE!C25</f>
        <v/>
      </c>
      <c r="C25" s="763" t="inlineStr">
        <is>
          <t>LM</t>
        </is>
      </c>
      <c r="D25" s="764">
        <f>+INVOICE!D25</f>
        <v/>
      </c>
      <c r="E25" s="765">
        <f>+INVOICE!#REF!</f>
        <v/>
      </c>
      <c r="F25" s="766">
        <f>+D25*E25</f>
        <v/>
      </c>
      <c r="G25" s="111" t="n"/>
    </row>
    <row r="26" ht="15.75" customHeight="1">
      <c r="A26" s="754" t="n"/>
      <c r="B26" s="767" t="inlineStr">
        <is>
          <t>100% Polyester</t>
        </is>
      </c>
      <c r="C26" s="763" t="n"/>
      <c r="E26" s="768" t="n"/>
      <c r="F26" s="766" t="n"/>
      <c r="G26" s="111" t="n"/>
    </row>
    <row r="27" ht="15.75" customHeight="1">
      <c r="A27" s="761">
        <f>+INVOICE!#REF!</f>
        <v/>
      </c>
      <c r="B27" s="769">
        <f>+INVOICE!#REF!</f>
        <v/>
      </c>
      <c r="C27" s="763" t="inlineStr">
        <is>
          <t>LM</t>
        </is>
      </c>
      <c r="D27" s="764">
        <f>+INVOICE!#REF!</f>
        <v/>
      </c>
      <c r="E27" s="765">
        <f>+INVOICE!#REF!</f>
        <v/>
      </c>
      <c r="F27" s="766">
        <f>+E27*D27</f>
        <v/>
      </c>
      <c r="G27" s="111" t="n"/>
    </row>
    <row r="28" ht="15.75" customHeight="1">
      <c r="A28" s="754" t="n"/>
      <c r="B28" s="767" t="inlineStr">
        <is>
          <t>100% Polyester</t>
        </is>
      </c>
      <c r="C28" s="763" t="n"/>
      <c r="E28" s="770" t="n"/>
      <c r="F28" s="766" t="n"/>
      <c r="G28" s="111" t="n"/>
    </row>
    <row r="29" ht="15.75" customHeight="1">
      <c r="A29" s="761" t="n"/>
      <c r="B29" s="769" t="n"/>
      <c r="C29" s="763" t="n"/>
      <c r="D29" s="764" t="n"/>
      <c r="E29" s="765" t="n"/>
      <c r="F29" s="766" t="n"/>
      <c r="G29" s="111" t="n"/>
    </row>
    <row r="30" ht="15.75" customHeight="1">
      <c r="A30" s="754" t="n"/>
      <c r="B30" s="767" t="n"/>
      <c r="C30" s="763" t="n"/>
      <c r="D30" s="764" t="n"/>
      <c r="E30" s="770" t="n"/>
      <c r="F30" s="766" t="n"/>
      <c r="G30" s="111" t="n"/>
    </row>
    <row r="31" ht="15.75" customHeight="1">
      <c r="A31" s="761" t="n"/>
      <c r="B31" s="769" t="n"/>
      <c r="C31" s="763" t="n"/>
      <c r="D31" s="764" t="n"/>
      <c r="E31" s="765" t="n"/>
      <c r="F31" s="766" t="n"/>
      <c r="G31" s="111" t="n"/>
    </row>
    <row r="32" ht="15.75" customHeight="1">
      <c r="A32" s="754" t="n"/>
      <c r="B32" s="767" t="n"/>
      <c r="C32" s="763" t="n"/>
      <c r="D32" s="764" t="n"/>
      <c r="E32" s="765" t="n"/>
      <c r="F32" s="766" t="n"/>
      <c r="G32" s="111" t="n"/>
    </row>
    <row r="33" ht="15.75" customHeight="1">
      <c r="A33" s="754" t="n"/>
      <c r="B33" s="771" t="n"/>
      <c r="C33" s="763" t="n"/>
      <c r="D33" s="764" t="n"/>
      <c r="E33" s="765" t="n"/>
      <c r="F33" s="766" t="n"/>
      <c r="G33" s="111" t="n"/>
    </row>
    <row r="34" ht="15.75" customHeight="1">
      <c r="A34" s="754" t="n"/>
      <c r="B34" s="767" t="n"/>
      <c r="C34" s="763" t="n"/>
      <c r="D34" s="764" t="n"/>
      <c r="E34" s="765" t="n"/>
      <c r="F34" s="766" t="n"/>
      <c r="G34" s="111" t="n"/>
    </row>
    <row r="35" ht="15.75" customHeight="1">
      <c r="A35" s="754" t="n"/>
      <c r="B35" s="771" t="n"/>
      <c r="C35" s="763" t="n"/>
      <c r="D35" s="764" t="n"/>
      <c r="E35" s="765" t="n"/>
      <c r="F35" s="766" t="n"/>
      <c r="G35" s="111" t="n"/>
    </row>
    <row r="36" ht="15.75" customHeight="1">
      <c r="A36" s="754" t="n"/>
      <c r="B36" s="767" t="n"/>
      <c r="C36" s="763" t="n"/>
      <c r="D36" s="764" t="n"/>
      <c r="E36" s="765" t="n"/>
      <c r="F36" s="772" t="n"/>
      <c r="G36" s="773" t="n"/>
    </row>
    <row r="37" ht="15.75" customHeight="1">
      <c r="A37" s="754" t="n"/>
      <c r="B37" s="771" t="n"/>
      <c r="C37" s="763" t="n"/>
      <c r="D37" s="764" t="n"/>
      <c r="E37" s="765" t="n"/>
      <c r="F37" s="772" t="n"/>
      <c r="G37" s="773" t="n"/>
    </row>
    <row r="38" ht="15.75" customHeight="1">
      <c r="A38" s="774" t="inlineStr">
        <is>
          <t>Freight and Insurance charge</t>
        </is>
      </c>
      <c r="B38" s="125" t="n"/>
      <c r="C38" s="775" t="n"/>
      <c r="D38" s="775" t="n"/>
      <c r="E38" s="776" t="n"/>
      <c r="F38" s="777" t="n"/>
      <c r="G38" s="258" t="n"/>
    </row>
    <row r="39" ht="22.5" customHeight="1">
      <c r="A39" s="778" t="inlineStr">
        <is>
          <t>TOTAL AMOUNT:</t>
        </is>
      </c>
      <c r="B39" s="779" t="n"/>
      <c r="C39" s="775" t="n"/>
      <c r="D39" s="775" t="n"/>
      <c r="E39" s="776" t="n"/>
      <c r="F39" s="780">
        <f>SUM(F25:G38)</f>
        <v/>
      </c>
      <c r="G39" s="258" t="n"/>
    </row>
    <row r="40" ht="12.75" customHeight="1">
      <c r="A40" s="781" t="n"/>
    </row>
    <row r="41" ht="13.5" customHeight="1">
      <c r="A41" s="782" t="inlineStr">
        <is>
          <t>1.The PO No. must appear on all packing lists, shipping documents, invoices and correspondence.</t>
        </is>
      </c>
    </row>
    <row r="42" ht="13.5" customHeight="1">
      <c r="A42" s="782" t="inlineStr">
        <is>
          <t>2.All goods and services are subject to purchaser's inspection and acceptance.</t>
        </is>
      </c>
    </row>
    <row r="43" ht="13.5" customHeight="1">
      <c r="A43" s="782" t="inlineStr">
        <is>
          <t>3.All goods shall be packed sufficiently to prevent loss, corrosion or damage during loading, transit, off-loading, handling, etc.</t>
        </is>
      </c>
    </row>
    <row r="44" ht="13.5" customHeight="1">
      <c r="A44" s="782" t="inlineStr">
        <is>
          <t>4.All rejected goods will be charged back to seller, including transportation and handling costs.</t>
        </is>
      </c>
    </row>
    <row r="45" ht="13.5" customHeight="1">
      <c r="A45" s="782" t="inlineStr">
        <is>
          <t>5.All over shipments will be accepted as free of charge deliveries.  Exception:  UOM's SF and M will be given a + 2% tolerance.</t>
        </is>
      </c>
    </row>
    <row r="46" ht="23.25" customHeight="1">
      <c r="A46" s="782" t="inlineStr">
        <is>
          <t>6.Seller must receive written approval from Wanek in advance for all under shipments, shipping with freight charge collect, combining / marking / packing with any other orders or a penalty of 3% of invoice value will be charged.</t>
        </is>
      </c>
    </row>
    <row r="47" ht="11.25" customHeight="1">
      <c r="A47" s="782" t="inlineStr">
        <is>
          <t>7.For each day that the delivery date is later than the due date, seller will be charged 3% of the invoice value.</t>
        </is>
      </c>
    </row>
    <row r="48" ht="11.25" customHeight="1">
      <c r="A48" s="782" t="inlineStr">
        <is>
          <t>8.If goods do not meet agreed standards and specifications,purchaser has the right to return, reject, charge back the seller.</t>
        </is>
      </c>
    </row>
    <row r="49" ht="27" customHeight="1">
      <c r="A49" s="782" t="inlineStr">
        <is>
          <t xml:space="preserve">9.All technical and commercial documentation called for in form attached is an integral part of vendor scope of supply. In the event vendor fail to furnish Wanek the requirements, an amount of up to 3% of invoice value will be withheld until the full and </t>
        </is>
      </c>
    </row>
    <row r="50" ht="12.75" customHeight="1">
      <c r="A50" s="782" t="inlineStr">
        <is>
          <t>correct documentation requirements are submitted to Wanek.</t>
        </is>
      </c>
    </row>
    <row r="51" ht="12.75" customHeight="1">
      <c r="A51" s="782" t="inlineStr">
        <is>
          <t>10.Seller agrees to hold harmless the purchaser on any infringement of patent, trademark, copyright on this PO.</t>
        </is>
      </c>
    </row>
    <row r="52" ht="12.75" customHeight="1">
      <c r="A52" s="782" t="inlineStr">
        <is>
          <t>11.Seller agrees to sign, chop and fax this PO back to Wanek within 24 hours of PO receipt.</t>
        </is>
      </c>
    </row>
    <row r="53">
      <c r="A53" s="783" t="n"/>
      <c r="B53" s="783" t="n"/>
      <c r="C53" s="784" t="n"/>
      <c r="D53" s="784" t="n"/>
      <c r="E53" s="784" t="n"/>
      <c r="F53" s="784" t="n"/>
      <c r="G53" s="784" t="n"/>
    </row>
    <row r="54" ht="12.75" customHeight="1">
      <c r="A54" s="785" t="n"/>
      <c r="B54" s="722" t="n"/>
      <c r="C54" s="722" t="n"/>
      <c r="D54" s="722" t="n"/>
      <c r="F54" s="722" t="n"/>
    </row>
    <row r="55" ht="12.75" customHeight="1">
      <c r="A55" s="785" t="n"/>
      <c r="B55" s="723" t="n"/>
      <c r="C55" s="722" t="n"/>
      <c r="D55" s="722" t="n"/>
      <c r="F55" s="722" t="n"/>
    </row>
    <row r="56" ht="12.75" customHeight="1">
      <c r="B56" s="722" t="n"/>
      <c r="C56" s="722" t="n"/>
      <c r="D56" s="722" t="n"/>
      <c r="F56" s="722" t="n"/>
    </row>
    <row r="57" ht="12.75" customHeight="1">
      <c r="B57" s="722" t="n"/>
      <c r="C57" s="722" t="n"/>
      <c r="D57" s="722" t="n"/>
      <c r="F57" s="722" t="n"/>
    </row>
    <row r="58" ht="12.75" customHeight="1">
      <c r="B58" s="722" t="n"/>
      <c r="C58" s="722" t="n"/>
      <c r="D58" s="722" t="n"/>
      <c r="F58" s="722" t="n"/>
    </row>
    <row r="59" ht="18.75" customHeight="1">
      <c r="B59" s="722" t="n"/>
      <c r="C59" s="722" t="n"/>
      <c r="D59" s="722" t="n"/>
      <c r="F59" s="722" t="n"/>
    </row>
    <row r="60" ht="18.75" customHeight="1">
      <c r="B60" s="722" t="n"/>
      <c r="C60" s="722" t="n"/>
      <c r="D60" s="722" t="n"/>
      <c r="F60" s="722" t="n"/>
    </row>
    <row r="61" ht="18.75" customHeight="1">
      <c r="B61" s="722" t="n"/>
      <c r="C61" s="722" t="n"/>
      <c r="D61" s="722" t="n"/>
      <c r="F61" s="722" t="n"/>
    </row>
    <row r="62" ht="23.25" customHeight="1">
      <c r="B62" s="722" t="n"/>
      <c r="C62" s="722" t="n"/>
      <c r="F62" s="722" t="n"/>
    </row>
    <row r="63" ht="19.5" customHeight="1">
      <c r="B63" s="786" t="n"/>
      <c r="C63" s="722" t="n"/>
      <c r="D63" s="722" t="n"/>
      <c r="F63" s="722" t="n"/>
    </row>
  </sheetData>
  <mergeCells count="40">
    <mergeCell ref="C16:E16"/>
    <mergeCell ref="F29:G29"/>
    <mergeCell ref="F25:G25"/>
    <mergeCell ref="F34:G34"/>
    <mergeCell ref="A52:G52"/>
    <mergeCell ref="A43:G43"/>
    <mergeCell ref="A44:G44"/>
    <mergeCell ref="F30:G30"/>
    <mergeCell ref="F24:G24"/>
    <mergeCell ref="A48:G48"/>
    <mergeCell ref="F33:G33"/>
    <mergeCell ref="F32:G32"/>
    <mergeCell ref="B10:B11"/>
    <mergeCell ref="F26:G26"/>
    <mergeCell ref="A49:G49"/>
    <mergeCell ref="A51:G51"/>
    <mergeCell ref="F35:G35"/>
    <mergeCell ref="A45:G45"/>
    <mergeCell ref="A21:B21"/>
    <mergeCell ref="E22:G22"/>
    <mergeCell ref="F38:G38"/>
    <mergeCell ref="F31:G31"/>
    <mergeCell ref="F28:G28"/>
    <mergeCell ref="E20:G20"/>
    <mergeCell ref="B2:E2"/>
    <mergeCell ref="E21:G21"/>
    <mergeCell ref="A41:G41"/>
    <mergeCell ref="F27:G27"/>
    <mergeCell ref="C21:D23"/>
    <mergeCell ref="B7:G7"/>
    <mergeCell ref="A46:G46"/>
    <mergeCell ref="F39:G39"/>
    <mergeCell ref="A38:B38"/>
    <mergeCell ref="A20:B20"/>
    <mergeCell ref="E23:G23"/>
    <mergeCell ref="A50:G50"/>
    <mergeCell ref="C19:D19"/>
    <mergeCell ref="A40:B40"/>
    <mergeCell ref="A47:G47"/>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2026-03-07T06:24:29Z</dcterms:created>
  <dcterms:modified xmlns:dcterms="http://purl.org/dc/terms/" xmlns:xsi="http://www.w3.org/2001/XMLSchema-instance" xsi:type="dcterms:W3CDTF">2026-03-07T06:24:49Z</dcterms:modified>
</cp:coreProperties>
</file>