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Detail packing list" sheetId="2" state="visible" r:id="rId2"/>
    <sheet xmlns:r="http://schemas.openxmlformats.org/officeDocument/2006/relationships" name="DeepSheet" sheetId="3" state="veryHidden" r:id="rId3"/>
  </sheets>
  <definedNames>
    <definedName name="_xlnm.Print_Area" localSheetId="0">'INVOICE'!$A$1:$G$34</definedName>
    <definedName name="_xlnm.Print_Area" localSheetId="1">'Detail packing list'!$A$1:$L$64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\.\ dd\,\ yyyy"/>
    <numFmt numFmtId="165" formatCode="dd/mm/yyyy"/>
    <numFmt numFmtId="166" formatCode="[$-409]mmmm\ d\,\ yyyy;@"/>
  </numFmts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20"/>
    </font>
    <font>
      <b val="1"/>
    </font>
    <font>
      <name val="Times New Roman"/>
    </font>
    <font>
      <b val="1"/>
      <i val="1"/>
    </font>
    <font>
      <name val="Times New Roman"/>
      <b val="1"/>
      <sz val="16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medium"/>
    </border>
    <border>
      <left/>
      <right/>
      <top style="medium"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4" fillId="0" borderId="2" applyAlignment="1" pivotButton="0" quotePrefix="0" xfId="0">
      <alignment horizontal="left"/>
    </xf>
    <xf numFmtId="1" fontId="4" fillId="0" borderId="2" applyAlignment="1" pivotButton="0" quotePrefix="0" xfId="0">
      <alignment horizontal="left"/>
    </xf>
    <xf numFmtId="0" fontId="0" fillId="0" borderId="2" pivotButton="0" quotePrefix="0" xfId="0"/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39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4" fontId="4" fillId="0" borderId="0" applyAlignment="1" pivotButton="0" quotePrefix="0" xfId="0">
      <alignment horizontal="centerContinuous" vertical="center"/>
    </xf>
    <xf numFmtId="1" fontId="0" fillId="0" borderId="0" applyAlignment="1" pivotButton="0" quotePrefix="0" xfId="0">
      <alignment horizontal="distributed"/>
    </xf>
    <xf numFmtId="1" fontId="0" fillId="0" borderId="0" applyAlignment="1" pivotButton="0" quotePrefix="0" xfId="0">
      <alignment horizontal="centerContinuous"/>
    </xf>
    <xf numFmtId="0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49" fontId="8" fillId="0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12.75" customWidth="1" min="1" max="1"/>
    <col width="18.75" customWidth="1" min="2" max="2"/>
    <col width="44.375" customWidth="1" min="3" max="3"/>
    <col width="11.75" customWidth="1" min="4" max="4"/>
    <col width="8.75" customWidth="1" min="5" max="5"/>
    <col width="12.25" customWidth="1" min="6" max="6"/>
    <col width="18.125" customWidth="1" min="7" max="7"/>
    <col width="9" customWidth="1" min="8" max="8"/>
  </cols>
  <sheetData>
    <row r="1" ht="27.95" customHeight="1">
      <c r="A1" s="1" t="inlineStr">
        <is>
          <t>CALIFOR UPHOLSTERY MATERIALS CO., LTD.</t>
        </is>
      </c>
      <c r="H1" s="2" t="n"/>
    </row>
    <row r="2" ht="26.25" customHeight="1">
      <c r="A2" s="3" t="inlineStr">
        <is>
          <t>XIN BAVET SEZ, Road No. 316A, Trapeang Bon and  Prey Kokir  Villages, Prey Kokir  Commune, Chantrea District,</t>
        </is>
      </c>
      <c r="H2" s="4" t="n"/>
    </row>
    <row r="3" ht="16.5" customHeight="1">
      <c r="A3" s="5" t="inlineStr">
        <is>
          <t>Svay Rieng Province, Kingdom of Cambodia.</t>
        </is>
      </c>
      <c r="H3" s="6" t="n"/>
    </row>
    <row r="4" ht="16.5" customHeight="1">
      <c r="A4" s="5" t="inlineStr">
        <is>
          <t>VAT:L001-901903209</t>
        </is>
      </c>
      <c r="H4" s="6" t="n"/>
    </row>
    <row r="5" ht="16.5" customHeight="1">
      <c r="A5" s="3" t="inlineStr">
        <is>
          <t>Tel: +855   975910636</t>
        </is>
      </c>
      <c r="H5" s="4" t="n"/>
    </row>
    <row r="6" ht="15.75" customHeight="1">
      <c r="A6" s="7" t="n"/>
      <c r="B6" s="8" t="n"/>
      <c r="C6" s="7" t="n"/>
      <c r="D6" s="7" t="n"/>
      <c r="E6" s="7" t="n"/>
      <c r="F6" s="7" t="n"/>
      <c r="G6" s="9" t="n"/>
    </row>
    <row r="7" ht="23.25" customHeight="1">
      <c r="A7" s="1" t="inlineStr">
        <is>
          <t>INVOICE</t>
        </is>
      </c>
    </row>
    <row r="8" ht="15" customHeight="1">
      <c r="A8" s="10" t="inlineStr">
        <is>
          <t>RefNo.:</t>
        </is>
      </c>
      <c r="B8" s="11">
        <f>'PACKING LIST'!B7</f>
        <v/>
      </c>
      <c r="C8" s="4" t="n"/>
      <c r="D8" s="4" t="n"/>
      <c r="E8" s="4" t="n"/>
      <c r="F8" s="4" t="n"/>
    </row>
    <row r="9" ht="15.75" customHeight="1">
      <c r="A9" s="10" t="inlineStr">
        <is>
          <t>Invoice No:</t>
        </is>
      </c>
      <c r="B9" s="12">
        <f>'PACKING LIST'!B8</f>
        <v/>
      </c>
      <c r="E9" s="13" t="n"/>
      <c r="F9" s="14" t="n"/>
    </row>
    <row r="10" ht="15.75" customHeight="1">
      <c r="A10" s="10" t="inlineStr">
        <is>
          <t>Date:</t>
        </is>
      </c>
      <c r="B10" s="15">
        <f>'PACKING LIST'!B9</f>
        <v/>
      </c>
      <c r="D10" s="16" t="n"/>
      <c r="E10" s="13" t="n"/>
      <c r="F10" s="17" t="n"/>
    </row>
    <row r="11" ht="15.75" customHeight="1">
      <c r="A11" s="10" t="inlineStr">
        <is>
          <t>To:</t>
        </is>
      </c>
      <c r="B11" s="18" t="inlineStr">
        <is>
          <t>WANEK FURNITURE CO., LTD</t>
        </is>
      </c>
    </row>
    <row r="12" ht="15.75" customHeight="1">
      <c r="B12" s="18" t="inlineStr">
        <is>
          <t xml:space="preserve"> Lot D_5A_CN, D_5C_CN, D_5E_CN, My Phuoc 3 Industrial Park,</t>
        </is>
      </c>
    </row>
    <row r="13" ht="15.75" customHeight="1">
      <c r="B13" s="18" t="inlineStr">
        <is>
          <t>Thoi Hoa Ward, Ho Chi Minh City, Vietnam.</t>
        </is>
      </c>
    </row>
    <row r="14" ht="12.75" customHeight="1">
      <c r="A14" s="19" t="inlineStr">
        <is>
          <t>From :</t>
        </is>
      </c>
      <c r="B14" s="18">
        <f>'Detail packing list'!B13</f>
        <v/>
      </c>
      <c r="E14" s="20" t="n"/>
      <c r="F14" s="20" t="n"/>
    </row>
    <row r="15" ht="15.75" customHeight="1">
      <c r="A15" s="19" t="inlineStr">
        <is>
          <t>To :</t>
        </is>
      </c>
      <c r="B15" s="18" t="inlineStr">
        <is>
          <t>HO CHI MINH, VIET NAM.</t>
        </is>
      </c>
      <c r="D15" s="21" t="n"/>
    </row>
    <row r="16" ht="15.75" customHeight="1">
      <c r="A16" s="19" t="inlineStr">
        <is>
          <t>Payment Term:</t>
        </is>
      </c>
      <c r="B16" s="18">
        <f>'Detail packing list'!B15</f>
        <v/>
      </c>
      <c r="D16" s="21" t="n"/>
    </row>
    <row r="17" ht="15.75" customHeight="1">
      <c r="A17" s="19" t="inlineStr">
        <is>
          <t>Origin of goods:</t>
        </is>
      </c>
      <c r="B17" s="18">
        <f>'Detail packing list'!B16</f>
        <v/>
      </c>
      <c r="D17" s="21" t="n"/>
    </row>
    <row r="18" ht="15.75" customHeight="1">
      <c r="A18" s="19" t="inlineStr">
        <is>
          <t>Shipping term:</t>
        </is>
      </c>
      <c r="B18" s="18">
        <f>'Detail packing list'!B17</f>
        <v/>
      </c>
      <c r="E18" s="20" t="n"/>
      <c r="F18" s="20" t="n"/>
    </row>
    <row r="19" ht="15.75" customHeight="1">
      <c r="A19" s="19" t="inlineStr">
        <is>
          <t>Shipped Per:</t>
        </is>
      </c>
      <c r="B19" s="18" t="inlineStr">
        <is>
          <t>BY TRUCK FROM BAVET, SVAY RIENG, CAMBODIA TO HO CHI MINH, VIETNAM.</t>
        </is>
      </c>
      <c r="E19" s="20" t="n"/>
      <c r="F19" s="20" t="n"/>
    </row>
    <row r="20" ht="15.75" customHeight="1">
      <c r="A20" s="20" t="n"/>
      <c r="B20" s="22" t="n"/>
      <c r="E20" s="20" t="n"/>
      <c r="F20" s="20" t="n"/>
    </row>
    <row r="21" ht="15.75" customHeight="1">
      <c r="A21" s="20" t="n"/>
      <c r="B21" s="22" t="n"/>
      <c r="E21" s="20" t="n"/>
      <c r="F21" s="20" t="n"/>
    </row>
    <row r="22" ht="15.75" customHeight="1">
      <c r="A22" s="20" t="n"/>
      <c r="B22" s="22" t="n"/>
      <c r="E22" s="20" t="n"/>
      <c r="F22" s="20" t="n"/>
    </row>
    <row r="23" ht="15.75" customHeight="1">
      <c r="A23" s="20" t="n"/>
      <c r="B23" s="22" t="n"/>
      <c r="E23" s="20" t="n"/>
      <c r="F23" s="20" t="n"/>
    </row>
    <row r="24" ht="31.5" customHeight="1">
      <c r="A24" s="23" t="inlineStr">
        <is>
          <t>PO number</t>
        </is>
      </c>
      <c r="B24" s="23" t="inlineStr">
        <is>
          <t>Item No.</t>
        </is>
      </c>
      <c r="C24" s="23" t="inlineStr">
        <is>
          <t>Description of Goods</t>
        </is>
      </c>
      <c r="D24" s="24" t="inlineStr">
        <is>
          <t>Quantity</t>
        </is>
      </c>
      <c r="E24" s="24" t="inlineStr">
        <is>
          <t>Unit</t>
        </is>
      </c>
      <c r="F24" s="24" t="inlineStr">
        <is>
          <t>Unit Price        (USD)</t>
        </is>
      </c>
      <c r="G24" s="24" t="inlineStr">
        <is>
          <t>Amount
(USD)</t>
        </is>
      </c>
    </row>
    <row r="25" ht="23.25" customHeight="1">
      <c r="B25" s="25" t="n">
        <v>140522</v>
      </c>
      <c r="C25" s="25" t="inlineStr">
        <is>
          <t>PT2C496</t>
        </is>
      </c>
      <c r="D25" s="26" t="n">
        <v>51399.2</v>
      </c>
      <c r="F25" s="26" t="n">
        <v>1.42</v>
      </c>
      <c r="G25" s="26">
        <f>D25 * F25</f>
        <v/>
      </c>
    </row>
    <row r="26" ht="23.25" customHeight="1">
      <c r="B26" s="25" t="n">
        <v>140478</v>
      </c>
      <c r="C26" s="25" t="inlineStr">
        <is>
          <t>PT2DT21</t>
        </is>
      </c>
      <c r="D26" s="26" t="n">
        <v>42301.4</v>
      </c>
      <c r="F26" s="26" t="n">
        <v>0.86</v>
      </c>
      <c r="G26" s="26">
        <f>D26 * F26</f>
        <v/>
      </c>
    </row>
    <row r="27" ht="23.25" customHeight="1">
      <c r="B27" s="25" t="n">
        <v>140488</v>
      </c>
      <c r="C27" s="25" t="inlineStr">
        <is>
          <t>PT2F060</t>
        </is>
      </c>
      <c r="D27" s="26" t="n">
        <v>3622.1</v>
      </c>
      <c r="F27" s="26" t="n">
        <v>0.86</v>
      </c>
      <c r="G27" s="26">
        <f>D27 * F27</f>
        <v/>
      </c>
    </row>
    <row r="28" ht="23.25" customHeight="1">
      <c r="B28" s="25" t="n">
        <v>140478</v>
      </c>
      <c r="C28" s="25" t="inlineStr">
        <is>
          <t>PT2F252</t>
        </is>
      </c>
      <c r="D28" s="26" t="n">
        <v>56246.6</v>
      </c>
      <c r="F28" s="26" t="n">
        <v>0.86</v>
      </c>
      <c r="G28" s="26">
        <f>D28 * F28</f>
        <v/>
      </c>
    </row>
    <row r="29" ht="23.25" customHeight="1">
      <c r="B29" s="25" t="n">
        <v>140478</v>
      </c>
      <c r="C29" s="25" t="inlineStr">
        <is>
          <t>PT2F262</t>
        </is>
      </c>
      <c r="D29" s="26" t="n">
        <v>62114</v>
      </c>
      <c r="F29" s="26" t="n">
        <v>0.86</v>
      </c>
      <c r="G29" s="26">
        <f>D29 * F29</f>
        <v/>
      </c>
    </row>
    <row r="30" ht="31.5" customHeight="1">
      <c r="B30" s="23" t="n"/>
      <c r="C30" s="23" t="inlineStr">
        <is>
          <t>TOTAL</t>
        </is>
      </c>
      <c r="D30" s="24">
        <f>SUM(D25:D29)</f>
        <v/>
      </c>
      <c r="F30" s="24" t="n"/>
      <c r="G30" s="24">
        <f>SUM(G25:G29)</f>
        <v/>
      </c>
    </row>
    <row r="31" ht="15" customHeight="1">
      <c r="A31" s="2" t="n"/>
      <c r="B31" s="22" t="n"/>
      <c r="F31" s="27" t="n"/>
    </row>
    <row r="32" ht="22.5" customHeight="1">
      <c r="B32" s="22" t="n"/>
      <c r="E32" s="28" t="n"/>
    </row>
    <row r="33" ht="15" customHeight="1">
      <c r="B33" s="22" t="n"/>
    </row>
    <row r="34" ht="15" customHeight="1">
      <c r="A34" s="29">
        <f>A1</f>
        <v/>
      </c>
      <c r="B34" s="2" t="n"/>
      <c r="C34" s="2" t="n"/>
      <c r="D34" s="2" t="n"/>
      <c r="E34" s="2" t="n"/>
      <c r="F34" s="2" t="n"/>
      <c r="G34" s="2" t="n"/>
      <c r="H34" s="2" t="n"/>
    </row>
    <row r="35" ht="15" customHeight="1">
      <c r="A35" s="30" t="n"/>
      <c r="B35" s="31" t="n"/>
    </row>
    <row r="36" ht="15" customHeight="1">
      <c r="A36" s="30" t="n"/>
      <c r="B36" s="32" t="n"/>
    </row>
    <row r="37" ht="15" customHeight="1">
      <c r="A37" s="30" t="n"/>
      <c r="B37" s="33" t="n"/>
    </row>
    <row r="38" ht="15" customHeight="1">
      <c r="B38" s="22" t="n"/>
    </row>
    <row r="39">
      <c r="B39" s="22" t="n"/>
    </row>
    <row r="40">
      <c r="B40" s="22" t="n"/>
    </row>
    <row r="41">
      <c r="B41" s="22" t="n"/>
    </row>
    <row r="42">
      <c r="B42" s="22" t="n"/>
    </row>
    <row r="43">
      <c r="B43" s="22" t="n"/>
    </row>
    <row r="44">
      <c r="B44" s="22" t="n"/>
    </row>
    <row r="45">
      <c r="B45" s="22" t="n"/>
    </row>
    <row r="46">
      <c r="B46" s="22" t="n"/>
    </row>
    <row r="47">
      <c r="B47" s="22" t="n"/>
    </row>
    <row r="48">
      <c r="B48" s="22" t="n"/>
    </row>
    <row r="49">
      <c r="B49" s="22" t="n"/>
    </row>
    <row r="50">
      <c r="B50" s="22" t="n"/>
    </row>
    <row r="51">
      <c r="B51" s="22" t="n"/>
    </row>
    <row r="52">
      <c r="B52" s="22" t="n"/>
    </row>
    <row r="53">
      <c r="B53" s="22" t="n"/>
    </row>
    <row r="54">
      <c r="B54" s="22" t="n"/>
    </row>
    <row r="55">
      <c r="B55" s="22" t="n"/>
    </row>
    <row r="56">
      <c r="B56" s="22" t="n"/>
    </row>
    <row r="57">
      <c r="B57" s="22" t="n"/>
    </row>
    <row r="58">
      <c r="B58" s="22" t="n"/>
    </row>
    <row r="59">
      <c r="B59" s="22" t="n"/>
    </row>
    <row r="60">
      <c r="B60" s="22" t="n"/>
    </row>
    <row r="61">
      <c r="B61" s="22" t="n"/>
    </row>
    <row r="62">
      <c r="B62" s="22" t="n"/>
    </row>
    <row r="63">
      <c r="B63" s="22" t="n"/>
    </row>
    <row r="64">
      <c r="B64" s="22" t="n"/>
    </row>
    <row r="65">
      <c r="B65" s="22" t="n"/>
    </row>
    <row r="66">
      <c r="B66" s="22" t="n"/>
    </row>
    <row r="67">
      <c r="B67" s="22" t="n"/>
    </row>
    <row r="68">
      <c r="B68" s="22" t="n"/>
    </row>
    <row r="69">
      <c r="B69" s="22" t="n"/>
    </row>
    <row r="70">
      <c r="B70" s="22" t="n"/>
    </row>
    <row r="71">
      <c r="B71" s="22" t="n"/>
    </row>
    <row r="72">
      <c r="B72" s="22" t="n"/>
    </row>
    <row r="73">
      <c r="B73" s="22" t="n"/>
    </row>
    <row r="74">
      <c r="B74" s="22" t="n"/>
    </row>
  </sheetData>
  <mergeCells count="6">
    <mergeCell ref="A1:G1"/>
    <mergeCell ref="A3:G3"/>
    <mergeCell ref="A4:G4"/>
    <mergeCell ref="A2:G2"/>
    <mergeCell ref="A7:G7"/>
    <mergeCell ref="A5:G5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showGridLines="1" showRowColHeaders="1" view="pageBreakPreview" workbookViewId="0">
      <selection activeCell="A1" sqref="A1"/>
    </sheetView>
  </sheetViews>
  <sheetFormatPr baseColWidth="8" defaultRowHeight="15"/>
  <cols>
    <col width="12.5" customWidth="1" min="1" max="1"/>
    <col width="14.75" customWidth="1" min="2" max="2"/>
    <col width="43.5" customWidth="1" min="3" max="3"/>
    <col width="12.25" customWidth="1" min="4" max="4"/>
    <col width="9.875" customWidth="1" min="5" max="5"/>
    <col width="13.75" customWidth="1" min="6" max="6"/>
    <col width="6.25" customWidth="1" min="7" max="7"/>
    <col width="12.125" customWidth="1" min="8" max="8"/>
    <col width="11.375" customWidth="1" min="9" max="9"/>
    <col width="11" customWidth="1" min="10" max="10"/>
    <col width="15.75" customWidth="1" min="11" max="11"/>
    <col width="24.625" customWidth="1" min="12" max="12"/>
    <col width="9" customWidth="1" min="13" max="13"/>
  </cols>
  <sheetData>
    <row r="1" ht="27.95" customHeight="1">
      <c r="A1" s="1" t="inlineStr">
        <is>
          <t>CALIFOR UPHOLSTERY MATERIALS CO., LTD.</t>
        </is>
      </c>
    </row>
    <row r="2" ht="26.25" customHeight="1">
      <c r="A2" s="3" t="inlineStr">
        <is>
          <t>XIN BAVET SEZ, Road No. 316A, Trapeang Bon and  Prey Kokir  Villages, Prey Kokir  Commune, Chantrea District,</t>
        </is>
      </c>
    </row>
    <row r="3" ht="16.5" customHeight="1">
      <c r="A3" s="5" t="inlineStr">
        <is>
          <t>Svay Rieng Province, Kingdom of Cambodia.</t>
        </is>
      </c>
    </row>
    <row r="4" ht="16.5" customHeight="1">
      <c r="A4" s="5" t="inlineStr">
        <is>
          <t>VAT:L001-901903209</t>
        </is>
      </c>
    </row>
    <row r="5" ht="16.5" customHeight="1">
      <c r="A5" s="3" t="inlineStr">
        <is>
          <t>Tel: +855   975910636</t>
        </is>
      </c>
    </row>
    <row r="6" ht="25.5" customHeight="1">
      <c r="A6" s="34" t="inlineStr">
        <is>
          <t>DETAIL PACKING LIST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</row>
    <row r="7" ht="15" customHeight="1">
      <c r="A7" s="10" t="inlineStr">
        <is>
          <t>RefNo.:</t>
        </is>
      </c>
      <c r="B7" s="11" t="inlineStr">
        <is>
          <t>CLF2026-062</t>
        </is>
      </c>
      <c r="C7" s="36" t="n"/>
      <c r="D7" s="36" t="n"/>
      <c r="E7" s="36" t="n"/>
      <c r="F7" s="36" t="n"/>
      <c r="G7" s="36" t="n"/>
      <c r="H7" s="36" t="n"/>
      <c r="I7" s="36" t="n"/>
      <c r="J7" s="36" t="n"/>
    </row>
    <row r="8" ht="15.75" customHeight="1">
      <c r="A8" s="10" t="inlineStr">
        <is>
          <t>Invoice No</t>
        </is>
      </c>
      <c r="B8" s="12" t="inlineStr">
        <is>
          <t>CLW26009</t>
        </is>
      </c>
      <c r="F8" s="20" t="n"/>
      <c r="G8" s="20" t="n"/>
      <c r="H8" s="20" t="n"/>
      <c r="I8" s="20" t="n"/>
      <c r="J8" s="20" t="n"/>
    </row>
    <row r="9" ht="17.1" customHeight="1">
      <c r="A9" s="10" t="inlineStr">
        <is>
          <t>Date</t>
        </is>
      </c>
      <c r="B9" s="15" t="inlineStr">
        <is>
          <t>2026-02-10 00:00:00</t>
        </is>
      </c>
      <c r="F9" s="16" t="n"/>
      <c r="G9" s="20" t="n"/>
      <c r="H9" s="20" t="n"/>
      <c r="I9" s="20" t="n"/>
      <c r="J9" s="20" t="n"/>
    </row>
    <row r="10" ht="17.1" customHeight="1">
      <c r="A10" s="10" t="inlineStr">
        <is>
          <t>To</t>
        </is>
      </c>
      <c r="B10" s="18">
        <f>INVOICE!B11</f>
        <v/>
      </c>
      <c r="F10" s="2" t="n"/>
      <c r="G10" s="2" t="n"/>
      <c r="H10" s="2" t="n"/>
      <c r="I10" s="2" t="n"/>
      <c r="J10" s="2" t="n"/>
    </row>
    <row r="11" ht="17.1" customHeight="1">
      <c r="B11" s="18" t="inlineStr">
        <is>
          <t xml:space="preserve"> Lot D_5A_CN, D_5C_CN, D_5E_CN, My Phuoc 3 Industrial Park,</t>
        </is>
      </c>
    </row>
    <row r="12" ht="17.1" customHeight="1">
      <c r="B12" s="18" t="inlineStr">
        <is>
          <t>Thoi Hoa Ward, Ho Chi Minh City, Vietnam.</t>
        </is>
      </c>
      <c r="J12" s="37" t="n"/>
    </row>
    <row r="13" ht="17.1" customHeight="1">
      <c r="A13" s="19" t="inlineStr">
        <is>
          <t xml:space="preserve">From </t>
        </is>
      </c>
      <c r="B13" s="38" t="inlineStr">
        <is>
          <t>BAVET, SVAY RIENG, CAMBODIA</t>
        </is>
      </c>
      <c r="J13" s="37" t="n"/>
    </row>
    <row r="14" ht="17.1" customHeight="1">
      <c r="A14" s="19" t="inlineStr">
        <is>
          <t xml:space="preserve">To </t>
        </is>
      </c>
      <c r="B14" s="18">
        <f>INVOICE!B15</f>
        <v/>
      </c>
      <c r="J14" s="37" t="n"/>
    </row>
    <row r="15" ht="17.1" customHeight="1">
      <c r="A15" s="19" t="inlineStr">
        <is>
          <t>Payment Term:</t>
        </is>
      </c>
      <c r="B15" s="18" t="inlineStr">
        <is>
          <t>T/T 43 days B/L date</t>
        </is>
      </c>
      <c r="J15" s="37" t="n"/>
    </row>
    <row r="16" ht="17.1" customHeight="1">
      <c r="A16" s="19" t="inlineStr">
        <is>
          <t>Origin of goods:</t>
        </is>
      </c>
      <c r="B16" s="18" t="inlineStr">
        <is>
          <t>CAMBODIA</t>
        </is>
      </c>
      <c r="J16" s="37" t="n"/>
    </row>
    <row r="17" ht="17.1" customHeight="1">
      <c r="A17" s="10" t="inlineStr">
        <is>
          <t>Shipping term:</t>
        </is>
      </c>
      <c r="B17" s="18" t="inlineStr">
        <is>
          <t>DAP: HCM</t>
        </is>
      </c>
      <c r="F17" s="4" t="n"/>
      <c r="G17" s="4" t="n"/>
      <c r="J17" s="37" t="n"/>
    </row>
    <row r="18" ht="17.1" customHeight="1">
      <c r="A18" s="20" t="n"/>
      <c r="B18" s="22" t="n"/>
      <c r="J18" s="37" t="n"/>
    </row>
    <row r="19" ht="17.1" customHeight="1">
      <c r="A19" s="20" t="n"/>
      <c r="B19" s="39" t="n"/>
      <c r="J19" s="37" t="n"/>
    </row>
    <row r="20"/>
    <row r="21" ht="51.75" customHeight="1">
      <c r="A21" s="40" t="inlineStr">
        <is>
          <t>PO number</t>
        </is>
      </c>
      <c r="B21" s="40" t="inlineStr">
        <is>
          <t>Item No.</t>
        </is>
      </c>
      <c r="C21" s="40" t="inlineStr">
        <is>
          <t>Description of Goods</t>
        </is>
      </c>
      <c r="D21" s="40" t="inlineStr">
        <is>
          <t>PALLET NO.#</t>
        </is>
      </c>
      <c r="E21" s="41" t="inlineStr">
        <is>
          <t>PCS</t>
        </is>
      </c>
      <c r="F21" s="42" t="inlineStr">
        <is>
          <t>Quantity (SF)</t>
        </is>
      </c>
      <c r="G21" s="42" t="inlineStr">
        <is>
          <t>Unit</t>
        </is>
      </c>
      <c r="H21" s="42" t="inlineStr">
        <is>
          <t>Net Weight (Kgs)</t>
        </is>
      </c>
      <c r="I21" s="42" t="inlineStr">
        <is>
          <t>Gross Weight (Kgs)</t>
        </is>
      </c>
      <c r="J21" s="42" t="inlineStr">
        <is>
          <t>Volume (CBM)</t>
        </is>
      </c>
      <c r="K21" s="40" t="inlineStr">
        <is>
          <t>Container number</t>
        </is>
      </c>
      <c r="L21" s="40" t="inlineStr">
        <is>
          <t>Remark</t>
        </is>
      </c>
    </row>
    <row r="22" ht="31.5" customHeight="1">
      <c r="B22" s="25" t="n">
        <v>140522</v>
      </c>
      <c r="C22" s="25" t="inlineStr">
        <is>
          <t>PT2C496</t>
        </is>
      </c>
      <c r="D22" s="25" t="n">
        <v>1</v>
      </c>
      <c r="E22" s="43" t="n">
        <v>225</v>
      </c>
      <c r="F22" s="26" t="n">
        <v>11135.1</v>
      </c>
      <c r="G22" s="26" t="n">
        <v>1.42</v>
      </c>
      <c r="H22" s="26" t="n">
        <v>865.5</v>
      </c>
      <c r="I22" s="26" t="n">
        <v>910.5</v>
      </c>
      <c r="J22" s="26" t="n">
        <v>2.8116</v>
      </c>
      <c r="K22" s="25" t="n">
        <v>1</v>
      </c>
    </row>
    <row r="23" ht="31.5" customHeight="1">
      <c r="B23" s="25" t="n">
        <v>140522</v>
      </c>
      <c r="C23" s="25" t="inlineStr">
        <is>
          <t>PT2C496</t>
        </is>
      </c>
      <c r="D23" s="25" t="n">
        <v>1</v>
      </c>
      <c r="E23" s="43" t="n">
        <v>216</v>
      </c>
      <c r="F23" s="26" t="n">
        <v>10508.5</v>
      </c>
      <c r="G23" s="26" t="n">
        <v>1.42</v>
      </c>
      <c r="H23" s="26" t="n">
        <v>800.5263</v>
      </c>
      <c r="I23" s="26" t="n">
        <v>843.1579</v>
      </c>
      <c r="J23" s="26" t="n">
        <v>2.401</v>
      </c>
      <c r="K23" s="25" t="n">
        <v>2</v>
      </c>
    </row>
    <row r="24" ht="31.5" customHeight="1">
      <c r="B24" s="25" t="n">
        <v>140522</v>
      </c>
      <c r="C24" s="25" t="inlineStr">
        <is>
          <t>PT2C496</t>
        </is>
      </c>
      <c r="D24" s="25" t="n">
        <v>0</v>
      </c>
      <c r="E24" s="43" t="n">
        <v>12</v>
      </c>
      <c r="F24" s="26" t="n">
        <v>432.6</v>
      </c>
      <c r="G24" s="26" t="n">
        <v>1.42</v>
      </c>
      <c r="H24" s="26" t="n">
        <v>44.4737</v>
      </c>
      <c r="I24" s="26" t="n">
        <v>46.8421</v>
      </c>
      <c r="J24" s="26" t="n">
        <v>0.1334</v>
      </c>
      <c r="K24" s="25" t="n">
        <v>3</v>
      </c>
    </row>
    <row r="25" ht="31.5" customHeight="1">
      <c r="B25" s="25" t="n">
        <v>140522</v>
      </c>
      <c r="C25" s="25" t="inlineStr">
        <is>
          <t>PT2C496</t>
        </is>
      </c>
      <c r="D25" s="25" t="n">
        <v>1</v>
      </c>
      <c r="E25" s="43" t="n">
        <v>225</v>
      </c>
      <c r="F25" s="26" t="n">
        <v>11165.8</v>
      </c>
      <c r="G25" s="26" t="n">
        <v>1.42</v>
      </c>
      <c r="H25" s="26" t="n">
        <v>871</v>
      </c>
      <c r="I25" s="26" t="n">
        <v>916</v>
      </c>
      <c r="J25" s="26" t="n">
        <v>2.5344</v>
      </c>
      <c r="K25" s="25" t="n">
        <v>4</v>
      </c>
    </row>
    <row r="26" ht="31.5" customHeight="1">
      <c r="B26" s="25" t="n">
        <v>140522</v>
      </c>
      <c r="C26" s="25" t="inlineStr">
        <is>
          <t>PT2C496</t>
        </is>
      </c>
      <c r="D26" s="25" t="n">
        <v>1</v>
      </c>
      <c r="E26" s="43" t="n">
        <v>225</v>
      </c>
      <c r="F26" s="26" t="n">
        <v>11087.3</v>
      </c>
      <c r="G26" s="26" t="n">
        <v>1.42</v>
      </c>
      <c r="H26" s="26" t="n">
        <v>868.5</v>
      </c>
      <c r="I26" s="26" t="n">
        <v>913.5</v>
      </c>
      <c r="J26" s="26" t="n">
        <v>2.5344</v>
      </c>
      <c r="K26" s="25" t="n">
        <v>5</v>
      </c>
    </row>
    <row r="27" ht="31.5" customHeight="1">
      <c r="B27" s="25" t="n">
        <v>140522</v>
      </c>
      <c r="C27" s="25" t="inlineStr">
        <is>
          <t>PT2C496</t>
        </is>
      </c>
      <c r="D27" s="25" t="n">
        <v>1</v>
      </c>
      <c r="E27" s="43" t="n">
        <v>73</v>
      </c>
      <c r="F27" s="26" t="n">
        <v>3607.4</v>
      </c>
      <c r="G27" s="26" t="n">
        <v>1.42</v>
      </c>
      <c r="H27" s="26" t="n">
        <v>276</v>
      </c>
      <c r="I27" s="26" t="n">
        <v>298.5</v>
      </c>
      <c r="J27" s="26" t="n">
        <v>1.0296</v>
      </c>
      <c r="K27" s="25" t="n">
        <v>6</v>
      </c>
    </row>
    <row r="28" ht="31.5" customHeight="1">
      <c r="B28" s="25" t="n">
        <v>140522</v>
      </c>
      <c r="C28" s="25" t="inlineStr">
        <is>
          <t>PT2C496</t>
        </is>
      </c>
      <c r="D28" s="25" t="n">
        <v>0</v>
      </c>
      <c r="E28" s="43" t="n">
        <v>1</v>
      </c>
      <c r="F28" s="26" t="n">
        <v>36.7</v>
      </c>
      <c r="G28" s="26" t="n">
        <v>1.42</v>
      </c>
      <c r="H28" s="26" t="n">
        <v>3.7808</v>
      </c>
      <c r="I28" s="26" t="n">
        <v>4.089</v>
      </c>
      <c r="J28" s="26" t="n">
        <v>0.0141</v>
      </c>
      <c r="K28" s="25" t="n">
        <v>7</v>
      </c>
    </row>
    <row r="29" ht="31.5" customHeight="1">
      <c r="B29" s="25" t="n">
        <v>140522</v>
      </c>
      <c r="C29" s="25" t="inlineStr">
        <is>
          <t>PT2C496</t>
        </is>
      </c>
      <c r="D29" s="25" t="n">
        <v>0</v>
      </c>
      <c r="E29" s="43" t="n">
        <v>72</v>
      </c>
      <c r="F29" s="26" t="n">
        <v>3425.8</v>
      </c>
      <c r="G29" s="26" t="n">
        <v>1.42</v>
      </c>
      <c r="H29" s="26" t="n">
        <v>272.2192</v>
      </c>
      <c r="I29" s="26" t="n">
        <v>294.411</v>
      </c>
      <c r="J29" s="26" t="n">
        <v>1.0155</v>
      </c>
      <c r="K29" s="25" t="n">
        <v>8</v>
      </c>
    </row>
    <row r="30" ht="31.5" customHeight="1">
      <c r="B30" s="25" t="n">
        <v>140478</v>
      </c>
      <c r="C30" s="25" t="inlineStr">
        <is>
          <t>PT2DT21</t>
        </is>
      </c>
      <c r="D30" s="25" t="n">
        <v>1</v>
      </c>
      <c r="E30" s="43" t="n">
        <v>280</v>
      </c>
      <c r="F30" s="26" t="n">
        <v>10166.2</v>
      </c>
      <c r="G30" s="26" t="n">
        <v>0.86</v>
      </c>
      <c r="H30" s="26" t="n">
        <v>747.5</v>
      </c>
      <c r="I30" s="26" t="n">
        <v>792.5</v>
      </c>
      <c r="J30" s="26" t="n">
        <v>2.4948</v>
      </c>
      <c r="K30" s="25" t="n">
        <v>9</v>
      </c>
    </row>
    <row r="31" ht="31.5" customHeight="1">
      <c r="B31" s="25" t="n">
        <v>140478</v>
      </c>
      <c r="C31" s="25" t="inlineStr">
        <is>
          <t>PT2DT21</t>
        </is>
      </c>
      <c r="D31" s="25" t="n">
        <v>1</v>
      </c>
      <c r="E31" s="43" t="n">
        <v>275</v>
      </c>
      <c r="F31" s="26" t="n">
        <v>10015</v>
      </c>
      <c r="G31" s="26" t="n">
        <v>0.86</v>
      </c>
      <c r="H31" s="26" t="n">
        <v>747</v>
      </c>
      <c r="I31" s="26" t="n">
        <v>792</v>
      </c>
      <c r="J31" s="26" t="n">
        <v>2.7324</v>
      </c>
      <c r="K31" s="25" t="n">
        <v>10</v>
      </c>
    </row>
    <row r="32" ht="31.5" customHeight="1">
      <c r="B32" s="25" t="n">
        <v>140478</v>
      </c>
      <c r="C32" s="25" t="inlineStr">
        <is>
          <t>PT2DT21</t>
        </is>
      </c>
      <c r="D32" s="25" t="n">
        <v>1</v>
      </c>
      <c r="E32" s="43" t="n">
        <v>171</v>
      </c>
      <c r="F32" s="26" t="n">
        <v>6201.2</v>
      </c>
      <c r="G32" s="26" t="n">
        <v>0.86</v>
      </c>
      <c r="H32" s="26" t="n">
        <v>462</v>
      </c>
      <c r="I32" s="26" t="n">
        <v>507</v>
      </c>
      <c r="J32" s="26" t="n">
        <v>1.9404</v>
      </c>
      <c r="K32" s="25" t="n">
        <v>11</v>
      </c>
    </row>
    <row r="33" ht="31.5" customHeight="1">
      <c r="B33" s="25" t="n">
        <v>140478</v>
      </c>
      <c r="C33" s="25" t="inlineStr">
        <is>
          <t>PT2DT21</t>
        </is>
      </c>
      <c r="D33" s="25" t="n">
        <v>1</v>
      </c>
      <c r="E33" s="43" t="n">
        <v>290</v>
      </c>
      <c r="F33" s="26" t="n">
        <v>10426.9</v>
      </c>
      <c r="G33" s="26" t="n">
        <v>0.86</v>
      </c>
      <c r="H33" s="26" t="n">
        <v>769.5</v>
      </c>
      <c r="I33" s="26" t="n">
        <v>814.5</v>
      </c>
      <c r="J33" s="26" t="n">
        <v>2.574</v>
      </c>
      <c r="K33" s="25" t="n">
        <v>12</v>
      </c>
    </row>
    <row r="34" ht="31.5" customHeight="1">
      <c r="B34" s="25" t="n">
        <v>140478</v>
      </c>
      <c r="C34" s="25" t="inlineStr">
        <is>
          <t>PT2DT21</t>
        </is>
      </c>
      <c r="D34" s="25" t="n">
        <v>1</v>
      </c>
      <c r="E34" s="43" t="n">
        <v>122</v>
      </c>
      <c r="F34" s="26" t="n">
        <v>4262.2</v>
      </c>
      <c r="G34" s="26" t="n">
        <v>0.86</v>
      </c>
      <c r="H34" s="26" t="n">
        <v>286.7</v>
      </c>
      <c r="I34" s="26" t="n">
        <v>321.0125</v>
      </c>
      <c r="J34" s="26" t="n">
        <v>1.0568</v>
      </c>
      <c r="K34" s="25" t="n">
        <v>13</v>
      </c>
    </row>
    <row r="35" ht="31.5" customHeight="1">
      <c r="B35" s="25" t="n">
        <v>140478</v>
      </c>
      <c r="C35" s="25" t="inlineStr">
        <is>
          <t>PT2DT21</t>
        </is>
      </c>
      <c r="D35" s="25" t="n">
        <v>0</v>
      </c>
      <c r="E35" s="43" t="n">
        <v>27</v>
      </c>
      <c r="F35" s="26" t="n">
        <v>846.5</v>
      </c>
      <c r="G35" s="26" t="n">
        <v>0.86</v>
      </c>
      <c r="H35" s="26" t="n">
        <v>63.45</v>
      </c>
      <c r="I35" s="26" t="n">
        <v>71.0438</v>
      </c>
      <c r="J35" s="26" t="n">
        <v>0.2339</v>
      </c>
      <c r="K35" s="25" t="n">
        <v>14</v>
      </c>
    </row>
    <row r="36" ht="31.5" customHeight="1">
      <c r="B36" s="25" t="n">
        <v>140478</v>
      </c>
      <c r="C36" s="25" t="inlineStr">
        <is>
          <t>PT2DT21</t>
        </is>
      </c>
      <c r="D36" s="25" t="n">
        <v>0</v>
      </c>
      <c r="E36" s="43" t="n">
        <v>11</v>
      </c>
      <c r="F36" s="26" t="n">
        <v>383.4</v>
      </c>
      <c r="G36" s="26" t="n">
        <v>0.86</v>
      </c>
      <c r="H36" s="26" t="n">
        <v>25.85</v>
      </c>
      <c r="I36" s="26" t="n">
        <v>28.9437</v>
      </c>
      <c r="J36" s="26" t="n">
        <v>0.0953</v>
      </c>
      <c r="K36" s="25" t="n">
        <v>15</v>
      </c>
    </row>
    <row r="37" ht="31.5" customHeight="1">
      <c r="B37" s="25" t="n">
        <v>140488</v>
      </c>
      <c r="C37" s="25" t="inlineStr">
        <is>
          <t>PT2F060</t>
        </is>
      </c>
      <c r="D37" s="25" t="n">
        <v>1</v>
      </c>
      <c r="E37" s="43" t="n">
        <v>100</v>
      </c>
      <c r="F37" s="26" t="n">
        <v>3590.1</v>
      </c>
      <c r="G37" s="26" t="n">
        <v>0.86</v>
      </c>
      <c r="H37" s="26" t="n">
        <v>251.4851</v>
      </c>
      <c r="I37" s="26" t="n">
        <v>296.0396</v>
      </c>
      <c r="J37" s="26" t="n">
        <v>1.5683</v>
      </c>
      <c r="K37" s="25" t="n">
        <v>16</v>
      </c>
    </row>
    <row r="38" ht="31.5" customHeight="1">
      <c r="B38" s="25" t="n">
        <v>140488</v>
      </c>
      <c r="C38" s="25" t="inlineStr">
        <is>
          <t>PT2F060</t>
        </is>
      </c>
      <c r="D38" s="25" t="n">
        <v>0</v>
      </c>
      <c r="E38" s="43" t="n">
        <v>1</v>
      </c>
      <c r="F38" s="26" t="n">
        <v>32</v>
      </c>
      <c r="G38" s="26" t="n">
        <v>0.86</v>
      </c>
      <c r="H38" s="26" t="n">
        <v>2.5149</v>
      </c>
      <c r="I38" s="26" t="n">
        <v>2.9604</v>
      </c>
      <c r="J38" s="26" t="n">
        <v>0.0157</v>
      </c>
      <c r="K38" s="25" t="n">
        <v>17</v>
      </c>
    </row>
    <row r="39" ht="31.5" customHeight="1">
      <c r="B39" s="25" t="n">
        <v>140478</v>
      </c>
      <c r="C39" s="25" t="inlineStr">
        <is>
          <t>PT2F252</t>
        </is>
      </c>
      <c r="D39" s="25" t="n">
        <v>1</v>
      </c>
      <c r="E39" s="43" t="n">
        <v>285</v>
      </c>
      <c r="F39" s="26" t="n">
        <v>10176.5</v>
      </c>
      <c r="G39" s="26" t="n">
        <v>0.86</v>
      </c>
      <c r="H39" s="26" t="n">
        <v>754.5</v>
      </c>
      <c r="I39" s="26" t="n">
        <v>799.5</v>
      </c>
      <c r="J39" s="26" t="n">
        <v>2.4948</v>
      </c>
      <c r="K39" s="25" t="n">
        <v>18</v>
      </c>
    </row>
    <row r="40" ht="31.5" customHeight="1">
      <c r="B40" s="25" t="n">
        <v>140478</v>
      </c>
      <c r="C40" s="25" t="inlineStr">
        <is>
          <t>PT2F252</t>
        </is>
      </c>
      <c r="D40" s="25" t="n">
        <v>1</v>
      </c>
      <c r="E40" s="43" t="n">
        <v>295</v>
      </c>
      <c r="F40" s="26" t="n">
        <v>10640.9</v>
      </c>
      <c r="G40" s="26" t="n">
        <v>0.86</v>
      </c>
      <c r="H40" s="26" t="n">
        <v>773</v>
      </c>
      <c r="I40" s="26" t="n">
        <v>818</v>
      </c>
      <c r="J40" s="26" t="n">
        <v>2.574</v>
      </c>
      <c r="K40" s="25" t="n">
        <v>19</v>
      </c>
    </row>
    <row r="41" ht="31.5" customHeight="1">
      <c r="B41" s="25" t="n">
        <v>140478</v>
      </c>
      <c r="C41" s="25" t="inlineStr">
        <is>
          <t>PT2F252</t>
        </is>
      </c>
      <c r="D41" s="25" t="n">
        <v>1</v>
      </c>
      <c r="E41" s="43" t="n">
        <v>69</v>
      </c>
      <c r="F41" s="26" t="n">
        <v>2448.7</v>
      </c>
      <c r="G41" s="26" t="n">
        <v>0.86</v>
      </c>
      <c r="H41" s="26" t="n">
        <v>161.7188</v>
      </c>
      <c r="I41" s="26" t="n">
        <v>200.5313</v>
      </c>
      <c r="J41" s="26" t="n">
        <v>1.0247</v>
      </c>
      <c r="K41" s="25" t="n">
        <v>20</v>
      </c>
    </row>
    <row r="42" ht="31.5" customHeight="1">
      <c r="B42" s="25" t="n">
        <v>140478</v>
      </c>
      <c r="C42" s="25" t="inlineStr">
        <is>
          <t>PT2F252</t>
        </is>
      </c>
      <c r="D42" s="25" t="n">
        <v>0</v>
      </c>
      <c r="E42" s="43" t="n">
        <v>11</v>
      </c>
      <c r="F42" s="26" t="n">
        <v>342.1</v>
      </c>
      <c r="G42" s="26" t="n">
        <v>0.86</v>
      </c>
      <c r="H42" s="26" t="n">
        <v>25.7812</v>
      </c>
      <c r="I42" s="26" t="n">
        <v>31.9687</v>
      </c>
      <c r="J42" s="26" t="n">
        <v>0.1633</v>
      </c>
      <c r="K42" s="25" t="n">
        <v>21</v>
      </c>
    </row>
    <row r="43" ht="31.5" customHeight="1">
      <c r="B43" s="25" t="n">
        <v>140478</v>
      </c>
      <c r="C43" s="25" t="inlineStr">
        <is>
          <t>PT2F252</t>
        </is>
      </c>
      <c r="D43" s="25" t="n">
        <v>1</v>
      </c>
      <c r="E43" s="43" t="n">
        <v>256</v>
      </c>
      <c r="F43" s="26" t="n">
        <v>9140</v>
      </c>
      <c r="G43" s="26" t="n">
        <v>0.86</v>
      </c>
      <c r="H43" s="26" t="n">
        <v>671.5</v>
      </c>
      <c r="I43" s="26" t="n">
        <v>716.5</v>
      </c>
      <c r="J43" s="26" t="n">
        <v>2.4948</v>
      </c>
      <c r="K43" s="25" t="n">
        <v>22</v>
      </c>
    </row>
    <row r="44" ht="31.5" customHeight="1">
      <c r="B44" s="25" t="n">
        <v>140478</v>
      </c>
      <c r="C44" s="25" t="inlineStr">
        <is>
          <t>PT2F252</t>
        </is>
      </c>
      <c r="D44" s="25" t="n">
        <v>1</v>
      </c>
      <c r="E44" s="43" t="n">
        <v>295</v>
      </c>
      <c r="F44" s="26" t="n">
        <v>10578.2</v>
      </c>
      <c r="G44" s="26" t="n">
        <v>0.86</v>
      </c>
      <c r="H44" s="26" t="n">
        <v>780.5</v>
      </c>
      <c r="I44" s="26" t="n">
        <v>825.5</v>
      </c>
      <c r="J44" s="26" t="n">
        <v>2.574</v>
      </c>
      <c r="K44" s="25" t="n">
        <v>23</v>
      </c>
    </row>
    <row r="45" ht="31.5" customHeight="1">
      <c r="B45" s="25" t="n">
        <v>140478</v>
      </c>
      <c r="C45" s="25" t="inlineStr">
        <is>
          <t>PT2F252</t>
        </is>
      </c>
      <c r="D45" s="25" t="n">
        <v>1</v>
      </c>
      <c r="E45" s="43" t="n">
        <v>250</v>
      </c>
      <c r="F45" s="26" t="n">
        <v>9108.299999999999</v>
      </c>
      <c r="G45" s="26" t="n">
        <v>0.86</v>
      </c>
      <c r="H45" s="26" t="n">
        <v>671.5</v>
      </c>
      <c r="I45" s="26" t="n">
        <v>716.5</v>
      </c>
      <c r="J45" s="26" t="n">
        <v>2.376</v>
      </c>
      <c r="K45" s="25" t="n">
        <v>24</v>
      </c>
    </row>
    <row r="46" ht="31.5" customHeight="1">
      <c r="B46" s="25" t="n">
        <v>140478</v>
      </c>
      <c r="C46" s="25" t="inlineStr">
        <is>
          <t>PT2F252</t>
        </is>
      </c>
      <c r="D46" s="25" t="n">
        <v>1</v>
      </c>
      <c r="E46" s="43" t="n">
        <v>91</v>
      </c>
      <c r="F46" s="26" t="n">
        <v>3162.9</v>
      </c>
      <c r="G46" s="26" t="n">
        <v>0.86</v>
      </c>
      <c r="H46" s="26" t="n">
        <v>233.2387</v>
      </c>
      <c r="I46" s="26" t="n">
        <v>270.1306</v>
      </c>
      <c r="J46" s="26" t="n">
        <v>1.1363</v>
      </c>
      <c r="K46" s="25" t="n">
        <v>25</v>
      </c>
    </row>
    <row r="47" ht="31.5" customHeight="1">
      <c r="B47" s="25" t="n">
        <v>140478</v>
      </c>
      <c r="C47" s="25" t="inlineStr">
        <is>
          <t>PT2F252</t>
        </is>
      </c>
      <c r="D47" s="25" t="n">
        <v>0</v>
      </c>
      <c r="E47" s="43" t="n">
        <v>20</v>
      </c>
      <c r="F47" s="26" t="n">
        <v>649</v>
      </c>
      <c r="G47" s="26" t="n">
        <v>0.86</v>
      </c>
      <c r="H47" s="26" t="n">
        <v>51.2613</v>
      </c>
      <c r="I47" s="26" t="n">
        <v>59.3694</v>
      </c>
      <c r="J47" s="26" t="n">
        <v>0.2497</v>
      </c>
      <c r="K47" s="25" t="n">
        <v>26</v>
      </c>
    </row>
    <row r="48" ht="31.5" customHeight="1">
      <c r="B48" s="25" t="n">
        <v>140478</v>
      </c>
      <c r="C48" s="25" t="inlineStr">
        <is>
          <t>PT2F262</t>
        </is>
      </c>
      <c r="D48" s="25" t="n">
        <v>1</v>
      </c>
      <c r="E48" s="43" t="n">
        <v>280</v>
      </c>
      <c r="F48" s="26" t="n">
        <v>10022.6</v>
      </c>
      <c r="G48" s="26" t="n">
        <v>0.86</v>
      </c>
      <c r="H48" s="26" t="n">
        <v>735</v>
      </c>
      <c r="I48" s="26" t="n">
        <v>780</v>
      </c>
      <c r="J48" s="26" t="n">
        <v>2.376</v>
      </c>
      <c r="K48" s="25" t="n">
        <v>27</v>
      </c>
    </row>
    <row r="49" ht="31.5" customHeight="1">
      <c r="B49" s="25" t="n">
        <v>140478</v>
      </c>
      <c r="C49" s="25" t="inlineStr">
        <is>
          <t>PT2F262</t>
        </is>
      </c>
      <c r="D49" s="25" t="n">
        <v>1</v>
      </c>
      <c r="E49" s="43" t="n">
        <v>290</v>
      </c>
      <c r="F49" s="26" t="n">
        <v>10275.1</v>
      </c>
      <c r="G49" s="26" t="n">
        <v>0.86</v>
      </c>
      <c r="H49" s="26" t="n">
        <v>766.5</v>
      </c>
      <c r="I49" s="26" t="n">
        <v>811.5</v>
      </c>
      <c r="J49" s="26" t="n">
        <v>2.574</v>
      </c>
      <c r="K49" s="25" t="n">
        <v>28</v>
      </c>
    </row>
    <row r="50" ht="31.5" customHeight="1">
      <c r="B50" s="25" t="n">
        <v>140478</v>
      </c>
      <c r="C50" s="25" t="inlineStr">
        <is>
          <t>PT2F262</t>
        </is>
      </c>
      <c r="D50" s="25" t="n">
        <v>1</v>
      </c>
      <c r="E50" s="43" t="n">
        <v>290</v>
      </c>
      <c r="F50" s="26" t="n">
        <v>10393.2</v>
      </c>
      <c r="G50" s="26" t="n">
        <v>0.86</v>
      </c>
      <c r="H50" s="26" t="n">
        <v>775</v>
      </c>
      <c r="I50" s="26" t="n">
        <v>820</v>
      </c>
      <c r="J50" s="26" t="n">
        <v>2.574</v>
      </c>
      <c r="K50" s="25" t="n">
        <v>29</v>
      </c>
    </row>
    <row r="51" ht="31.5" customHeight="1">
      <c r="B51" s="25" t="n">
        <v>140478</v>
      </c>
      <c r="C51" s="25" t="inlineStr">
        <is>
          <t>PT2F262</t>
        </is>
      </c>
      <c r="D51" s="25" t="n">
        <v>1</v>
      </c>
      <c r="E51" s="43" t="n">
        <v>290</v>
      </c>
      <c r="F51" s="26" t="n">
        <v>10463.9</v>
      </c>
      <c r="G51" s="26" t="n">
        <v>0.86</v>
      </c>
      <c r="H51" s="26" t="n">
        <v>780.5</v>
      </c>
      <c r="I51" s="26" t="n">
        <v>825.5</v>
      </c>
      <c r="J51" s="26" t="n">
        <v>2.772</v>
      </c>
      <c r="K51" s="25" t="n">
        <v>30</v>
      </c>
    </row>
    <row r="52" ht="31.5" customHeight="1">
      <c r="B52" s="25" t="n">
        <v>140478</v>
      </c>
      <c r="C52" s="25" t="inlineStr">
        <is>
          <t>PT2F262</t>
        </is>
      </c>
      <c r="D52" s="25" t="n">
        <v>1</v>
      </c>
      <c r="E52" s="43" t="n">
        <v>280</v>
      </c>
      <c r="F52" s="26" t="n">
        <v>10136.1</v>
      </c>
      <c r="G52" s="26" t="n">
        <v>0.86</v>
      </c>
      <c r="H52" s="26" t="n">
        <v>755</v>
      </c>
      <c r="I52" s="26" t="n">
        <v>800</v>
      </c>
      <c r="J52" s="26" t="n">
        <v>2.4948</v>
      </c>
      <c r="K52" s="25" t="n">
        <v>31</v>
      </c>
    </row>
    <row r="53" ht="31.5" customHeight="1">
      <c r="B53" s="25" t="n">
        <v>140478</v>
      </c>
      <c r="C53" s="25" t="inlineStr">
        <is>
          <t>PT2F262</t>
        </is>
      </c>
      <c r="D53" s="25" t="n">
        <v>1</v>
      </c>
      <c r="E53" s="43" t="n">
        <v>229</v>
      </c>
      <c r="F53" s="26" t="n">
        <v>7981.8</v>
      </c>
      <c r="G53" s="26" t="n">
        <v>0.86</v>
      </c>
      <c r="H53" s="26" t="n">
        <v>601.3739</v>
      </c>
      <c r="I53" s="26" t="n">
        <v>646.1783</v>
      </c>
      <c r="J53" s="26" t="n">
        <v>2.1685</v>
      </c>
      <c r="K53" s="25" t="n">
        <v>32</v>
      </c>
    </row>
    <row r="54" ht="31.5" customHeight="1">
      <c r="B54" s="25" t="n">
        <v>140478</v>
      </c>
      <c r="C54" s="25" t="inlineStr">
        <is>
          <t>PT2F262</t>
        </is>
      </c>
      <c r="D54" s="25" t="n">
        <v>0</v>
      </c>
      <c r="E54" s="43" t="n">
        <v>1</v>
      </c>
      <c r="F54" s="26" t="n">
        <v>22.4</v>
      </c>
      <c r="G54" s="26" t="n">
        <v>0.86</v>
      </c>
      <c r="H54" s="26" t="n">
        <v>2.6261</v>
      </c>
      <c r="I54" s="26" t="n">
        <v>2.8217</v>
      </c>
      <c r="J54" s="26" t="n">
        <v>0.0095</v>
      </c>
      <c r="K54" s="25" t="n">
        <v>33</v>
      </c>
    </row>
    <row r="55" ht="31.5" customHeight="1">
      <c r="B55" s="25" t="n">
        <v>140478</v>
      </c>
      <c r="C55" s="25" t="inlineStr">
        <is>
          <t>PT2F262</t>
        </is>
      </c>
      <c r="D55" s="25" t="n">
        <v>1</v>
      </c>
      <c r="E55" s="43" t="n">
        <v>47</v>
      </c>
      <c r="F55" s="26" t="n">
        <v>1609.5</v>
      </c>
      <c r="G55" s="26" t="n">
        <v>0.86</v>
      </c>
      <c r="H55" s="26" t="n">
        <v>120.0179</v>
      </c>
      <c r="I55" s="26" t="n">
        <v>145.1964</v>
      </c>
      <c r="J55" s="26" t="n">
        <v>0.7755</v>
      </c>
      <c r="K55" s="25" t="n">
        <v>34</v>
      </c>
    </row>
    <row r="56" ht="31.5" customHeight="1">
      <c r="B56" s="25" t="n">
        <v>140478</v>
      </c>
      <c r="C56" s="25" t="inlineStr">
        <is>
          <t>PT2F262</t>
        </is>
      </c>
      <c r="D56" s="25" t="n">
        <v>0</v>
      </c>
      <c r="E56" s="43" t="n">
        <v>37</v>
      </c>
      <c r="F56" s="26" t="n">
        <v>1209.4</v>
      </c>
      <c r="G56" s="26" t="n">
        <v>0.86</v>
      </c>
      <c r="H56" s="26" t="n">
        <v>94.4821</v>
      </c>
      <c r="I56" s="26" t="n">
        <v>114.3036</v>
      </c>
      <c r="J56" s="26" t="n">
        <v>0.6105</v>
      </c>
      <c r="K56" s="25" t="n">
        <v>35</v>
      </c>
    </row>
    <row r="57" ht="51.75" customHeight="1">
      <c r="B57" s="40" t="n"/>
      <c r="C57" s="40" t="inlineStr">
        <is>
          <t>LEATHER (HS.CODE: 4107.12.00)</t>
        </is>
      </c>
      <c r="D57" s="40" t="n"/>
      <c r="E57" s="41" t="n"/>
      <c r="F57" s="42" t="n"/>
      <c r="G57" s="42" t="n"/>
      <c r="H57" s="42" t="n"/>
      <c r="I57" s="42" t="n"/>
      <c r="J57" s="42" t="n"/>
      <c r="K57" s="40" t="n"/>
      <c r="L57" s="40" t="n"/>
    </row>
    <row r="58" ht="51.75" customHeight="1">
      <c r="B58" s="40" t="inlineStr">
        <is>
          <t>25 PALLETS</t>
        </is>
      </c>
      <c r="C58" s="40" t="inlineStr">
        <is>
          <t>TOTAL：</t>
        </is>
      </c>
      <c r="D58" s="40" t="n"/>
      <c r="E58" s="41">
        <f>SUM(E22:E56)</f>
        <v/>
      </c>
      <c r="F58" s="42">
        <f>SUM(F22:F56)</f>
        <v/>
      </c>
      <c r="G58" s="42" t="n"/>
      <c r="H58" s="42">
        <f>SUM(H22:H56)</f>
        <v/>
      </c>
      <c r="I58" s="42">
        <f>SUM(I22:I56)</f>
        <v/>
      </c>
      <c r="J58" s="42">
        <f>SUM(J22:J56)</f>
        <v/>
      </c>
      <c r="K58" s="40" t="n"/>
      <c r="L58" s="40" t="n"/>
    </row>
    <row r="59" ht="15.75" customHeight="1">
      <c r="A59" s="44" t="n"/>
      <c r="C59" s="39" t="n"/>
      <c r="D59" s="39" t="n"/>
      <c r="E59" s="39" t="n"/>
      <c r="F59" s="39" t="n"/>
      <c r="G59" s="45" t="n"/>
      <c r="H59" s="46" t="n"/>
      <c r="I59" s="46" t="n"/>
      <c r="J59" s="47" t="n"/>
      <c r="K59" s="47" t="n"/>
    </row>
    <row r="60" ht="15.75" customHeight="1">
      <c r="A60" s="48" t="inlineStr">
        <is>
          <t>Warning information</t>
        </is>
      </c>
      <c r="B60" s="4" t="n"/>
      <c r="C60" s="39" t="n"/>
      <c r="D60" s="39" t="n"/>
      <c r="E60" s="39" t="n"/>
      <c r="F60" s="39" t="n"/>
      <c r="G60" s="4" t="n"/>
      <c r="H60" s="4" t="n"/>
      <c r="I60" s="4" t="n"/>
      <c r="J60" s="44" t="n"/>
      <c r="K60" s="4" t="n"/>
    </row>
    <row r="61">
      <c r="A61" s="2" t="n"/>
      <c r="B61" s="4" t="n"/>
      <c r="C61" s="39" t="n"/>
      <c r="D61" s="39" t="n"/>
      <c r="E61" s="39" t="n"/>
      <c r="F61" s="39" t="n"/>
      <c r="G61" s="4" t="n"/>
      <c r="H61" s="4" t="n"/>
      <c r="I61" s="4" t="n"/>
      <c r="J61" s="44" t="n"/>
      <c r="K61" s="4" t="n"/>
    </row>
    <row r="62">
      <c r="A62" s="2" t="n"/>
      <c r="B62" s="4" t="n"/>
      <c r="C62" s="39" t="n"/>
      <c r="D62" s="39" t="n"/>
      <c r="E62" s="39" t="n"/>
      <c r="F62" s="39" t="n"/>
      <c r="G62" s="4" t="n"/>
      <c r="H62" s="4" t="n"/>
      <c r="I62" s="4" t="n"/>
      <c r="J62" s="44" t="n"/>
      <c r="K62" s="4" t="n"/>
    </row>
    <row r="63">
      <c r="A63" s="4" t="n"/>
      <c r="B63" s="4" t="n"/>
      <c r="C63" s="39" t="n"/>
      <c r="D63" s="39" t="n"/>
      <c r="E63" s="39" t="n"/>
      <c r="F63" s="39" t="n"/>
      <c r="G63" s="4" t="n"/>
      <c r="H63" s="4" t="n"/>
      <c r="I63" s="4" t="n"/>
      <c r="J63" s="44" t="n"/>
      <c r="K63" s="4" t="n"/>
    </row>
    <row r="64" ht="20.25" customHeight="1">
      <c r="A64" s="49">
        <f>A1</f>
        <v/>
      </c>
    </row>
  </sheetData>
  <mergeCells count="9">
    <mergeCell ref="A2:L2"/>
    <mergeCell ref="A59:B59"/>
    <mergeCell ref="A64:K64"/>
    <mergeCell ref="A5:L5"/>
    <mergeCell ref="A1:L1"/>
    <mergeCell ref="C57:D57"/>
    <mergeCell ref="A6:L6"/>
    <mergeCell ref="A3:L3"/>
    <mergeCell ref="A4:L4"/>
  </mergeCells>
  <printOptions horizontalCentered="1" verticalCentered="0"/>
  <pageMargins left="0.1" right="0.1" top="0.75" bottom="0.7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col_invoice_no</t>
        </is>
      </c>
      <c r="B1" t="inlineStr">
        <is>
          <t>col_ref_no</t>
        </is>
      </c>
      <c r="C1" t="inlineStr">
        <is>
          <t>col_date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2026-02-23T05:52:06Z</dcterms:created>
  <dcterms:modified xmlns:dcterms="http://purl.org/dc/terms/" xmlns:xsi="http://www.w3.org/2001/XMLSchema-instance" xsi:type="dcterms:W3CDTF">2026-02-23T05:52:13Z</dcterms:modified>
</cp:coreProperties>
</file>